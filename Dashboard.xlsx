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ars\OneDrive\Desktop\project\Utkarsh FINANCIAL PERFORMANCE ANALYSIS\"/>
    </mc:Choice>
  </mc:AlternateContent>
  <xr:revisionPtr revIDLastSave="0" documentId="8_{DE781165-3C6E-4CE5-80A7-3D5ED3789D0D}" xr6:coauthVersionLast="47" xr6:coauthVersionMax="47" xr10:uidLastSave="{00000000-0000-0000-0000-000000000000}"/>
  <bookViews>
    <workbookView xWindow="-120" yWindow="-120" windowWidth="29040" windowHeight="15720" tabRatio="711" xr2:uid="{E5F52689-C89B-4B43-9D30-0B4595862C79}"/>
  </bookViews>
  <sheets>
    <sheet name="Dashboad" sheetId="1" r:id="rId1"/>
    <sheet name="budget vs actual" sheetId="2" r:id="rId2"/>
    <sheet name="profit margn by category (2)" sheetId="4" r:id="rId3"/>
    <sheet name="Proofit by month" sheetId="5" r:id="rId4"/>
    <sheet name="Total expense by month" sheetId="6" r:id="rId5"/>
    <sheet name="Total revenue by month" sheetId="7" r:id="rId6"/>
  </sheets>
  <definedNames>
    <definedName name="ExternalData_1" localSheetId="1" hidden="1">'budget vs actual'!$A$1:$D$13</definedName>
    <definedName name="ExternalData_2" localSheetId="2" hidden="1">'profit margn by category (2)'!$A$1:$E$3</definedName>
    <definedName name="ExternalData_3" localSheetId="3" hidden="1">'Proofit by month'!$A$1:$D$13</definedName>
    <definedName name="ExternalData_4" localSheetId="4" hidden="1">'Total expense by month'!$A$1:$B$13</definedName>
    <definedName name="ExternalData_5" localSheetId="5" hidden="1">'Total revenue by month'!$A$1:$B$13</definedName>
    <definedName name="Slicer_Month">#N/A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udget vs actual_4b264eb0-f8bf-4989-b250-a686dd7f1df5" name="budget vs actual" connection="Query - budget vs actual"/>
          <x15:modelTable id="profit margn by category  2_f5edde53-82ff-4dc3-b4f5-c4fd2afe0f50" name="profit margn by category  2" connection="Query - profit margn by category (2)"/>
          <x15:modelTable id="Proofit by month_a551f0d8-e12c-4953-ae28-eb87efcc81f2" name="Proofit by month" connection="Query - Proofit by month"/>
          <x15:modelTable id="Total expense by month_78bb2428-f0c6-429f-bce0-1380cb7e0ac9" name="Total expense by month" connection="Query - Total expense by month"/>
          <x15:modelTable id="Total revenue by month_af715c14-510e-4e6c-b0ba-c095a896b9f3" name="Total revenue by month" connection="Query - Total revenue by month"/>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G2" i="1" s="1"/>
  <c r="J2" i="1" s="1"/>
  <c r="E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D69416-2047-4671-A2CF-52B10A1EB0E3}" keepAlive="1" name="ModelConnection_ExternalData_1" description="Data Model" type="5" refreshedVersion="8" minRefreshableVersion="5" saveData="1">
    <dbPr connection="Data Model Connection" command="budget vs actual" commandType="3"/>
    <extLst>
      <ext xmlns:x15="http://schemas.microsoft.com/office/spreadsheetml/2010/11/main" uri="{DE250136-89BD-433C-8126-D09CA5730AF9}">
        <x15:connection id="" model="1"/>
      </ext>
    </extLst>
  </connection>
  <connection id="2" xr16:uid="{D750F737-B7CC-443C-8A6A-B092E9C52110}" keepAlive="1" name="ModelConnection_ExternalData_2" description="Data Model" type="5" refreshedVersion="8" minRefreshableVersion="5" saveData="1">
    <dbPr connection="Data Model Connection" command="profit margn by category  2" commandType="3"/>
    <extLst>
      <ext xmlns:x15="http://schemas.microsoft.com/office/spreadsheetml/2010/11/main" uri="{DE250136-89BD-433C-8126-D09CA5730AF9}">
        <x15:connection id="" model="1"/>
      </ext>
    </extLst>
  </connection>
  <connection id="3" xr16:uid="{63DCD74E-BF64-4027-99F8-EB710DE63919}" keepAlive="1" name="ModelConnection_ExternalData_3" description="Data Model" type="5" refreshedVersion="8" minRefreshableVersion="5" saveData="1">
    <dbPr connection="Data Model Connection" command="Proofit by month" commandType="3"/>
    <extLst>
      <ext xmlns:x15="http://schemas.microsoft.com/office/spreadsheetml/2010/11/main" uri="{DE250136-89BD-433C-8126-D09CA5730AF9}">
        <x15:connection id="" model="1"/>
      </ext>
    </extLst>
  </connection>
  <connection id="4" xr16:uid="{9AEA35A6-531A-4422-B505-C9551A095E35}" keepAlive="1" name="ModelConnection_ExternalData_4" description="Data Model" type="5" refreshedVersion="8" minRefreshableVersion="5" saveData="1">
    <dbPr connection="Data Model Connection" command="Total expense by month" commandType="3"/>
    <extLst>
      <ext xmlns:x15="http://schemas.microsoft.com/office/spreadsheetml/2010/11/main" uri="{DE250136-89BD-433C-8126-D09CA5730AF9}">
        <x15:connection id="" model="1"/>
      </ext>
    </extLst>
  </connection>
  <connection id="5" xr16:uid="{63E7E162-0C09-4E7D-8817-7DE60713349C}" keepAlive="1" name="ModelConnection_ExternalData_5" description="Data Model" type="5" refreshedVersion="8" minRefreshableVersion="5" saveData="1">
    <dbPr connection="Data Model Connection" command="Total revenue by month" commandType="3"/>
    <extLst>
      <ext xmlns:x15="http://schemas.microsoft.com/office/spreadsheetml/2010/11/main" uri="{DE250136-89BD-433C-8126-D09CA5730AF9}">
        <x15:connection id="" model="1"/>
      </ext>
    </extLst>
  </connection>
  <connection id="6" xr16:uid="{EBE9EC63-0EC6-43E3-A0FA-CD587FF68D34}" name="Query - budget vs actual" description="Connection to the 'budget vs actual' query in the workbook." type="100" refreshedVersion="8" minRefreshableVersion="5">
    <extLst>
      <ext xmlns:x15="http://schemas.microsoft.com/office/spreadsheetml/2010/11/main" uri="{DE250136-89BD-433C-8126-D09CA5730AF9}">
        <x15:connection id="270b3101-374e-4241-8f23-c11e41b66600"/>
      </ext>
    </extLst>
  </connection>
  <connection id="7" xr16:uid="{33161308-B05D-41B0-BF7E-D2E9EA7A4952}" keepAlive="1" name="Query - profit margn by category" description="Connection to the 'profit margn by category' query in the workbook." type="5" refreshedVersion="8" background="1" saveData="1">
    <dbPr connection="Provider=Microsoft.Mashup.OleDb.1;Data Source=$Workbook$;Location=&quot;profit margn by category&quot;;Extended Properties=&quot;&quot;" command="SELECT * FROM [profit margn by category]"/>
  </connection>
  <connection id="8" xr16:uid="{E7D56598-E01D-4CEA-9D6C-D39B9E179A0A}" name="Query - profit margn by category (2)" description="Connection to the 'profit margn by category (2)' query in the workbook." type="100" refreshedVersion="8" minRefreshableVersion="5">
    <extLst>
      <ext xmlns:x15="http://schemas.microsoft.com/office/spreadsheetml/2010/11/main" uri="{DE250136-89BD-433C-8126-D09CA5730AF9}">
        <x15:connection id="23129feb-83f8-4303-a49e-d98e7cde10bf"/>
      </ext>
    </extLst>
  </connection>
  <connection id="9" xr16:uid="{FBB8B9A0-CB2E-4A6F-92F8-6EBF68F51329}" name="Query - Proofit by month" description="Connection to the 'Proofit by month' query in the workbook." type="100" refreshedVersion="8" minRefreshableVersion="5">
    <extLst>
      <ext xmlns:x15="http://schemas.microsoft.com/office/spreadsheetml/2010/11/main" uri="{DE250136-89BD-433C-8126-D09CA5730AF9}">
        <x15:connection id="eb0b22af-aab1-4ea6-884d-7978e957c2fd"/>
      </ext>
    </extLst>
  </connection>
  <connection id="10" xr16:uid="{C0E35992-4518-49DE-9A9E-343E072AE7C7}" name="Query - Total expense by month" description="Connection to the 'Total expense by month' query in the workbook." type="100" refreshedVersion="8" minRefreshableVersion="5">
    <extLst>
      <ext xmlns:x15="http://schemas.microsoft.com/office/spreadsheetml/2010/11/main" uri="{DE250136-89BD-433C-8126-D09CA5730AF9}">
        <x15:connection id="1dce010e-07f1-4eef-ab01-3041ca15bb27"/>
      </ext>
    </extLst>
  </connection>
  <connection id="11" xr16:uid="{75A97EDE-A620-42FF-AFC7-FF63EF0A9310}" name="Query - Total revenue by month" description="Connection to the 'Total revenue by month' query in the workbook." type="100" refreshedVersion="8" minRefreshableVersion="5">
    <extLst>
      <ext xmlns:x15="http://schemas.microsoft.com/office/spreadsheetml/2010/11/main" uri="{DE250136-89BD-433C-8126-D09CA5730AF9}">
        <x15:connection id="26ac5e3f-a91a-49af-b6dd-c899676e2350"/>
      </ext>
    </extLst>
  </connection>
  <connection id="12" xr16:uid="{14B9E29A-A4B8-4CD4-AC34-11EB2512FF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<sst xmlns="http://schemas.openxmlformats.org/spreadsheetml/2006/main" count="71" uniqueCount="29">
  <si>
    <t>Month</t>
  </si>
  <si>
    <t>budget_income</t>
  </si>
  <si>
    <t>actual_income</t>
  </si>
  <si>
    <t>variance</t>
  </si>
  <si>
    <t>January</t>
  </si>
  <si>
    <t>February</t>
  </si>
  <si>
    <t>March</t>
  </si>
  <si>
    <t>April</t>
  </si>
  <si>
    <t>May</t>
  </si>
  <si>
    <t>June</t>
  </si>
  <si>
    <t>July</t>
  </si>
  <si>
    <t>August</t>
  </si>
  <si>
    <t>September</t>
  </si>
  <si>
    <t>October</t>
  </si>
  <si>
    <t>November</t>
  </si>
  <si>
    <t>December</t>
  </si>
  <si>
    <t>category</t>
  </si>
  <si>
    <t>revenue</t>
  </si>
  <si>
    <t>expense</t>
  </si>
  <si>
    <t>profit</t>
  </si>
  <si>
    <t>profit_margin_pct</t>
  </si>
  <si>
    <t>Social Media Ads</t>
  </si>
  <si>
    <t>Student Services</t>
  </si>
  <si>
    <t>total_revenue</t>
  </si>
  <si>
    <t>total_expense</t>
  </si>
  <si>
    <t>Total Revenue</t>
  </si>
  <si>
    <t>Total Expense</t>
  </si>
  <si>
    <t>Total Profit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</si>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</sst>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C09]#,##0"/>
  </numFmts>
  <fonts count="2" x14ac:knownFonts="1">
    <font>
      <sz val="11"/>
      <color theme="1"/>
      <name val="Aptos Narrow"/>
      <family val="2"/>
      <scheme val="minor"/>
    </font>
    <font>
      <b/>
      <sz val="2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9" fontId="1" fillId="0" borderId="0" xfId="0" applyNumberFormat="1" applyFont="1"/>
    <xf numFmtId="168" fontId="1" fillId="0" borderId="0" xfId="0" applyNumberFormat="1" applyFon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vs Expense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Revenue</c:v>
          </c:tx>
          <c:spPr>
            <a:ln w="28575" cap="rnd">
              <a:solidFill>
                <a:schemeClr val="accent1"/>
              </a:solidFill>
              <a:round/>
            </a:ln>
            <a:effectLst/>
          </c:spPr>
          <c:marker>
            <c:symbol val="none"/>
          </c:marker>
          <c:cat>
            <c:strRef>
              <c:f>'Proofit by month'!$A$2:$A$13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'Proofit by month'!$B$2:$B$13</c:f>
              <c:numCache>
                <c:formatCode>General</c:formatCode>
                <c:ptCount val="12"/>
                <c:pt idx="0">
                  <c:v>139408</c:v>
                </c:pt>
                <c:pt idx="1">
                  <c:v>136360</c:v>
                </c:pt>
                <c:pt idx="2">
                  <c:v>138360</c:v>
                </c:pt>
                <c:pt idx="3">
                  <c:v>136568</c:v>
                </c:pt>
                <c:pt idx="4">
                  <c:v>131896</c:v>
                </c:pt>
                <c:pt idx="5">
                  <c:v>132976</c:v>
                </c:pt>
                <c:pt idx="6">
                  <c:v>134160</c:v>
                </c:pt>
                <c:pt idx="7">
                  <c:v>138152</c:v>
                </c:pt>
                <c:pt idx="8">
                  <c:v>136184</c:v>
                </c:pt>
                <c:pt idx="9">
                  <c:v>136584</c:v>
                </c:pt>
                <c:pt idx="10">
                  <c:v>136984</c:v>
                </c:pt>
                <c:pt idx="11">
                  <c:v>139520</c:v>
                </c:pt>
              </c:numCache>
            </c:numRef>
          </c:val>
          <c:smooth val="0"/>
          <c:extLst>
            <c:ext xmlns:c16="http://schemas.microsoft.com/office/drawing/2014/chart" uri="{C3380CC4-5D6E-409C-BE32-E72D297353CC}">
              <c16:uniqueId val="{00000000-3DC5-4EB0-B68D-5C8F9CDE395A}"/>
            </c:ext>
          </c:extLst>
        </c:ser>
        <c:dLbls>
          <c:showLegendKey val="0"/>
          <c:showVal val="0"/>
          <c:showCatName val="0"/>
          <c:showSerName val="0"/>
          <c:showPercent val="0"/>
          <c:showBubbleSize val="0"/>
        </c:dLbls>
        <c:marker val="1"/>
        <c:smooth val="0"/>
        <c:axId val="1777590047"/>
        <c:axId val="1777589087"/>
      </c:lineChart>
      <c:lineChart>
        <c:grouping val="standard"/>
        <c:varyColors val="0"/>
        <c:ser>
          <c:idx val="1"/>
          <c:order val="1"/>
          <c:tx>
            <c:v>Expense</c:v>
          </c:tx>
          <c:spPr>
            <a:ln w="28575" cap="rnd">
              <a:solidFill>
                <a:schemeClr val="accent2"/>
              </a:solidFill>
              <a:round/>
            </a:ln>
            <a:effectLst/>
          </c:spPr>
          <c:marker>
            <c:symbol val="none"/>
          </c:marker>
          <c:cat>
            <c:strRef>
              <c:f>'Proofit by month'!$A$2:$A$13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'Proofit by month'!$C$2:$C$13</c:f>
              <c:numCache>
                <c:formatCode>General</c:formatCode>
                <c:ptCount val="12"/>
                <c:pt idx="0">
                  <c:v>14554</c:v>
                </c:pt>
                <c:pt idx="1">
                  <c:v>14992</c:v>
                </c:pt>
                <c:pt idx="2">
                  <c:v>14464</c:v>
                </c:pt>
                <c:pt idx="3">
                  <c:v>14722</c:v>
                </c:pt>
                <c:pt idx="4">
                  <c:v>14644</c:v>
                </c:pt>
                <c:pt idx="5">
                  <c:v>14970</c:v>
                </c:pt>
                <c:pt idx="6">
                  <c:v>14588</c:v>
                </c:pt>
                <c:pt idx="7">
                  <c:v>14484</c:v>
                </c:pt>
                <c:pt idx="8">
                  <c:v>14652</c:v>
                </c:pt>
                <c:pt idx="9">
                  <c:v>14820</c:v>
                </c:pt>
                <c:pt idx="10">
                  <c:v>14576</c:v>
                </c:pt>
                <c:pt idx="11">
                  <c:v>14662</c:v>
                </c:pt>
              </c:numCache>
            </c:numRef>
          </c:val>
          <c:smooth val="0"/>
          <c:extLst>
            <c:ext xmlns:c16="http://schemas.microsoft.com/office/drawing/2014/chart" uri="{C3380CC4-5D6E-409C-BE32-E72D297353CC}">
              <c16:uniqueId val="{00000001-3DC5-4EB0-B68D-5C8F9CDE395A}"/>
            </c:ext>
          </c:extLst>
        </c:ser>
        <c:dLbls>
          <c:showLegendKey val="0"/>
          <c:showVal val="0"/>
          <c:showCatName val="0"/>
          <c:showSerName val="0"/>
          <c:showPercent val="0"/>
          <c:showBubbleSize val="0"/>
        </c:dLbls>
        <c:marker val="1"/>
        <c:smooth val="0"/>
        <c:axId val="195217856"/>
        <c:axId val="428793008"/>
      </c:lineChart>
      <c:catAx>
        <c:axId val="177759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589087"/>
        <c:crosses val="autoZero"/>
        <c:auto val="1"/>
        <c:lblAlgn val="ctr"/>
        <c:lblOffset val="100"/>
        <c:noMultiLvlLbl val="0"/>
      </c:catAx>
      <c:valAx>
        <c:axId val="177758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590047"/>
        <c:crosses val="autoZero"/>
        <c:crossBetween val="between"/>
      </c:valAx>
      <c:valAx>
        <c:axId val="4287930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17856"/>
        <c:crosses val="max"/>
        <c:crossBetween val="between"/>
      </c:valAx>
      <c:catAx>
        <c:axId val="195217856"/>
        <c:scaling>
          <c:orientation val="minMax"/>
        </c:scaling>
        <c:delete val="1"/>
        <c:axPos val="b"/>
        <c:numFmt formatCode="General" sourceLinked="1"/>
        <c:majorTickMark val="out"/>
        <c:minorTickMark val="none"/>
        <c:tickLblPos val="nextTo"/>
        <c:crossAx val="42879300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'Proofit by month'!$D$1</c:f>
              <c:strCache>
                <c:ptCount val="1"/>
                <c:pt idx="0">
                  <c:v>profit</c:v>
                </c:pt>
              </c:strCache>
            </c:strRef>
          </c:tx>
          <c:spPr>
            <a:ln w="28575" cap="rnd">
              <a:solidFill>
                <a:schemeClr val="accent1"/>
              </a:solidFill>
              <a:round/>
            </a:ln>
            <a:effectLst/>
          </c:spPr>
          <c:marker>
            <c:symbol val="none"/>
          </c:marker>
          <c:cat>
            <c:strRef>
              <c:f>'Proofit by month'!$A$2:$A$13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'Proofit by month'!$D$2:$D$13</c:f>
              <c:numCache>
                <c:formatCode>General</c:formatCode>
                <c:ptCount val="12"/>
                <c:pt idx="0">
                  <c:v>124854</c:v>
                </c:pt>
                <c:pt idx="1">
                  <c:v>121368</c:v>
                </c:pt>
                <c:pt idx="2">
                  <c:v>123896</c:v>
                </c:pt>
                <c:pt idx="3">
                  <c:v>121846</c:v>
                </c:pt>
                <c:pt idx="4">
                  <c:v>117252</c:v>
                </c:pt>
                <c:pt idx="5">
                  <c:v>118006</c:v>
                </c:pt>
                <c:pt idx="6">
                  <c:v>119572</c:v>
                </c:pt>
                <c:pt idx="7">
                  <c:v>123668</c:v>
                </c:pt>
                <c:pt idx="8">
                  <c:v>121532</c:v>
                </c:pt>
                <c:pt idx="9">
                  <c:v>121764</c:v>
                </c:pt>
                <c:pt idx="10">
                  <c:v>122408</c:v>
                </c:pt>
                <c:pt idx="11">
                  <c:v>124858</c:v>
                </c:pt>
              </c:numCache>
            </c:numRef>
          </c:val>
          <c:smooth val="0"/>
          <c:extLst>
            <c:ext xmlns:c16="http://schemas.microsoft.com/office/drawing/2014/chart" uri="{C3380CC4-5D6E-409C-BE32-E72D297353CC}">
              <c16:uniqueId val="{00000000-FDAD-49CA-A77A-EC7A60A775AC}"/>
            </c:ext>
          </c:extLst>
        </c:ser>
        <c:dLbls>
          <c:showLegendKey val="0"/>
          <c:showVal val="0"/>
          <c:showCatName val="0"/>
          <c:showSerName val="0"/>
          <c:showPercent val="0"/>
          <c:showBubbleSize val="0"/>
        </c:dLbls>
        <c:smooth val="0"/>
        <c:axId val="1783296367"/>
        <c:axId val="1783298287"/>
      </c:lineChart>
      <c:catAx>
        <c:axId val="178329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298287"/>
        <c:crosses val="autoZero"/>
        <c:auto val="1"/>
        <c:lblAlgn val="ctr"/>
        <c:lblOffset val="100"/>
        <c:noMultiLvlLbl val="0"/>
      </c:catAx>
      <c:valAx>
        <c:axId val="178329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2963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Profit</a:t>
            </a:r>
            <a:r>
              <a:rPr lang="en-US" baseline="0"/>
              <a: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'profit margn by category (2)'!$E$1</c:f>
              <c:strCache>
                <c:ptCount val="1"/>
                <c:pt idx="0">
                  <c:v>profit_margin_pct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margn by category (2)'!$A$2:$A$3</c:f>
              <c:strCache>
                <c:ptCount val="2"/>
                <c:pt idx="0">
                  <c:v>Social Media Ads</c:v>
                </c:pt>
                <c:pt idx="1">
                  <c:v>Student Services</c:v>
                </c:pt>
              </c:strCache>
            </c:strRef>
          </c:cat>
          <c:val>
            <c:numRef>
              <c:f>'profit margn by category (2)'!$E$2:$E$3</c:f>
              <c:numCache>
                <c:formatCode>General</c:formatCode>
                <c:ptCount val="2"/>
                <c:pt idx="0">
                  <c:v>81.510000000000005</c:v>
                </c:pt>
                <c:pt idx="1">
                  <c:v>92.41</c:v>
                </c:pt>
              </c:numCache>
            </c:numRef>
          </c:val>
          <c:extLst>
            <c:ext xmlns:c16="http://schemas.microsoft.com/office/drawing/2014/chart" uri="{C3380CC4-5D6E-409C-BE32-E72D297353CC}">
              <c16:uniqueId val="{00000000-67A6-4FBC-839E-FF47481D849E}"/>
            </c:ext>
          </c:extLst>
        </c:ser>
        <c:dLbls>
          <c:dLblPos val="outEnd"/>
          <c:showLegendKey val="0"/>
          <c:showVal val="1"/>
          <c:showCatName val="0"/>
          <c:showSerName val="0"/>
          <c:showPercent val="0"/>
          <c:showBubbleSize val="0"/>
        </c:dLbls>
        <c:gapWidth val="182"/>
        <c:axId val="1778546543"/>
        <c:axId val="1778547023"/>
      </c:barChart>
      <c:catAx>
        <c:axId val="177854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547023"/>
        <c:crosses val="autoZero"/>
        <c:auto val="1"/>
        <c:lblAlgn val="ctr"/>
        <c:lblOffset val="100"/>
        <c:noMultiLvlLbl val="0"/>
      </c:catAx>
      <c:valAx>
        <c:axId val="1778547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546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 vs Actual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'budget vs actual'!$B$1</c:f>
              <c:strCache>
                <c:ptCount val="1"/>
                <c:pt idx="0">
                  <c:v>budget_income</c:v>
                </c:pt>
              </c:strCache>
            </c:strRef>
          </c:tx>
          <c:spPr>
            <a:solidFill>
              <a:schemeClr val="accent1"/>
            </a:solidFill>
            <a:ln>
              <a:noFill/>
            </a:ln>
            <a:effectLst/>
          </c:spPr>
          <c:invertIfNegative val="0"/>
          <c:cat>
            <c:strLit>
              <c:ptCount val="12"/>
              <c:pt idx="0">
                <c:v>January</c:v>
              </c:pt>
              <c:pt idx="1">
                <c:v>Febuary</c:v>
              </c:pt>
              <c:pt idx="2">
                <c:v>March</c:v>
              </c:pt>
              <c:pt idx="3">
                <c:v>April</c:v>
              </c:pt>
              <c:pt idx="4">
                <c:v>May</c:v>
              </c:pt>
              <c:pt idx="5">
                <c:v>June</c:v>
              </c:pt>
              <c:pt idx="6">
                <c:v>July</c:v>
              </c:pt>
              <c:pt idx="7">
                <c:v>August</c:v>
              </c:pt>
              <c:pt idx="8">
                <c:v>September</c:v>
              </c:pt>
              <c:pt idx="9">
                <c:v>October</c:v>
              </c:pt>
              <c:pt idx="10">
                <c:v>November</c:v>
              </c:pt>
              <c:pt idx="11">
                <c:v>December</c:v>
              </c:pt>
            </c:strLit>
          </c:cat>
          <c:val>
            <c:numRef>
              <c:f>'budget vs actual'!$B$2:$B$13</c:f>
              <c:numCache>
                <c:formatCode>General</c:formatCode>
                <c:ptCount val="12"/>
                <c:pt idx="0">
                  <c:v>17000</c:v>
                </c:pt>
                <c:pt idx="1">
                  <c:v>17000</c:v>
                </c:pt>
                <c:pt idx="2">
                  <c:v>17000</c:v>
                </c:pt>
                <c:pt idx="3">
                  <c:v>17000</c:v>
                </c:pt>
                <c:pt idx="4">
                  <c:v>17000</c:v>
                </c:pt>
                <c:pt idx="5">
                  <c:v>17000</c:v>
                </c:pt>
                <c:pt idx="6">
                  <c:v>17000</c:v>
                </c:pt>
                <c:pt idx="7">
                  <c:v>17000</c:v>
                </c:pt>
                <c:pt idx="8">
                  <c:v>17000</c:v>
                </c:pt>
                <c:pt idx="9">
                  <c:v>17000</c:v>
                </c:pt>
                <c:pt idx="10">
                  <c:v>17000</c:v>
                </c:pt>
                <c:pt idx="11">
                  <c:v>17000</c:v>
                </c:pt>
              </c:numCache>
            </c:numRef>
          </c:val>
          <c:extLst>
            <c:ext xmlns:c16="http://schemas.microsoft.com/office/drawing/2014/chart" uri="{C3380CC4-5D6E-409C-BE32-E72D297353CC}">
              <c16:uniqueId val="{00000000-1BE4-4051-8887-0214930F3C31}"/>
            </c:ext>
          </c:extLst>
        </c:ser>
        <c:ser>
          <c:idx val="1"/>
          <c:order val="1"/>
          <c:tx>
            <c:strRef>
              <c:f>'budget vs actual'!$C$1</c:f>
              <c:strCache>
                <c:ptCount val="1"/>
                <c:pt idx="0">
                  <c:v>actual_income</c:v>
                </c:pt>
              </c:strCache>
            </c:strRef>
          </c:tx>
          <c:spPr>
            <a:solidFill>
              <a:schemeClr val="accent2"/>
            </a:solidFill>
            <a:ln>
              <a:noFill/>
            </a:ln>
            <a:effectLst/>
          </c:spPr>
          <c:invertIfNegative val="0"/>
          <c:cat>
            <c:strLit>
              <c:ptCount val="12"/>
              <c:pt idx="0">
                <c:v>January</c:v>
              </c:pt>
              <c:pt idx="1">
                <c:v>Febuary</c:v>
              </c:pt>
              <c:pt idx="2">
                <c:v>March</c:v>
              </c:pt>
              <c:pt idx="3">
                <c:v>April</c:v>
              </c:pt>
              <c:pt idx="4">
                <c:v>May</c:v>
              </c:pt>
              <c:pt idx="5">
                <c:v>June</c:v>
              </c:pt>
              <c:pt idx="6">
                <c:v>July</c:v>
              </c:pt>
              <c:pt idx="7">
                <c:v>August</c:v>
              </c:pt>
              <c:pt idx="8">
                <c:v>September</c:v>
              </c:pt>
              <c:pt idx="9">
                <c:v>October</c:v>
              </c:pt>
              <c:pt idx="10">
                <c:v>November</c:v>
              </c:pt>
              <c:pt idx="11">
                <c:v>December</c:v>
              </c:pt>
            </c:strLit>
          </c:cat>
          <c:val>
            <c:numRef>
              <c:f>'budget vs actual'!$C$2:$C$13</c:f>
              <c:numCache>
                <c:formatCode>General</c:formatCode>
                <c:ptCount val="12"/>
                <c:pt idx="0">
                  <c:v>17426</c:v>
                </c:pt>
                <c:pt idx="1">
                  <c:v>17045</c:v>
                </c:pt>
                <c:pt idx="2">
                  <c:v>17295</c:v>
                </c:pt>
                <c:pt idx="3">
                  <c:v>17071</c:v>
                </c:pt>
                <c:pt idx="4">
                  <c:v>16487</c:v>
                </c:pt>
                <c:pt idx="5">
                  <c:v>16622</c:v>
                </c:pt>
                <c:pt idx="6">
                  <c:v>16770</c:v>
                </c:pt>
                <c:pt idx="7">
                  <c:v>17269</c:v>
                </c:pt>
                <c:pt idx="8">
                  <c:v>17023</c:v>
                </c:pt>
                <c:pt idx="9">
                  <c:v>17073</c:v>
                </c:pt>
                <c:pt idx="10">
                  <c:v>17123</c:v>
                </c:pt>
                <c:pt idx="11">
                  <c:v>17440</c:v>
                </c:pt>
              </c:numCache>
            </c:numRef>
          </c:val>
          <c:extLst>
            <c:ext xmlns:c16="http://schemas.microsoft.com/office/drawing/2014/chart" uri="{C3380CC4-5D6E-409C-BE32-E72D297353CC}">
              <c16:uniqueId val="{00000001-1BE4-4051-8887-0214930F3C31}"/>
            </c:ext>
          </c:extLst>
        </c:ser>
        <c:dLbls>
          <c:showLegendKey val="0"/>
          <c:showVal val="0"/>
          <c:showCatName val="0"/>
          <c:showSerName val="0"/>
          <c:showPercent val="0"/>
          <c:showBubbleSize val="0"/>
        </c:dLbls>
        <c:gapWidth val="219"/>
        <c:overlap val="-27"/>
        <c:axId val="1792406671"/>
        <c:axId val="1792407631"/>
      </c:barChart>
      <c:catAx>
        <c:axId val="179240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407631"/>
        <c:crosses val="autoZero"/>
        <c:auto val="1"/>
        <c:lblAlgn val="ctr"/>
        <c:lblOffset val="100"/>
        <c:noMultiLvlLbl val="0"/>
      </c:catAx>
      <c:valAx>
        <c:axId val="179240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40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'budget vs actual'!$B$1</c:f>
              <c:strCache>
                <c:ptCount val="1"/>
                <c:pt idx="0">
                  <c:v>budget_income</c:v>
                </c:pt>
              </c:strCache>
            </c:strRef>
          </c:tx>
          <c:spPr>
            <a:solidFill>
              <a:schemeClr val="accent1"/>
            </a:solidFill>
            <a:ln>
              <a:noFill/>
            </a:ln>
            <a:effectLst/>
          </c:spPr>
          <c:invertIfNegative val="0"/>
          <c:val>
            <c:numRef>
              <c:f>'budget vs actual'!$B$2:$B$13</c:f>
              <c:numCache>
                <c:formatCode>General</c:formatCode>
                <c:ptCount val="12"/>
                <c:pt idx="0">
                  <c:v>17000</c:v>
                </c:pt>
                <c:pt idx="1">
                  <c:v>17000</c:v>
                </c:pt>
                <c:pt idx="2">
                  <c:v>17000</c:v>
                </c:pt>
                <c:pt idx="3">
                  <c:v>17000</c:v>
                </c:pt>
                <c:pt idx="4">
                  <c:v>17000</c:v>
                </c:pt>
                <c:pt idx="5">
                  <c:v>17000</c:v>
                </c:pt>
                <c:pt idx="6">
                  <c:v>17000</c:v>
                </c:pt>
                <c:pt idx="7">
                  <c:v>17000</c:v>
                </c:pt>
                <c:pt idx="8">
                  <c:v>17000</c:v>
                </c:pt>
                <c:pt idx="9">
                  <c:v>17000</c:v>
                </c:pt>
                <c:pt idx="10">
                  <c:v>17000</c:v>
                </c:pt>
                <c:pt idx="11">
                  <c:v>17000</c:v>
                </c:pt>
              </c:numCache>
            </c:numRef>
          </c:val>
          <c:extLst>
            <c:ext xmlns:c16="http://schemas.microsoft.com/office/drawing/2014/chart" uri="{C3380CC4-5D6E-409C-BE32-E72D297353CC}">
              <c16:uniqueId val="{00000000-DFB7-4BDF-88D3-25B90484BD11}"/>
            </c:ext>
          </c:extLst>
        </c:ser>
        <c:ser>
          <c:idx val="1"/>
          <c:order val="1"/>
          <c:tx>
            <c:strRef>
              <c:f>'budget vs actual'!$C$1</c:f>
              <c:strCache>
                <c:ptCount val="1"/>
                <c:pt idx="0">
                  <c:v>actual_income</c:v>
                </c:pt>
              </c:strCache>
            </c:strRef>
          </c:tx>
          <c:spPr>
            <a:solidFill>
              <a:schemeClr val="accent2"/>
            </a:solidFill>
            <a:ln>
              <a:noFill/>
            </a:ln>
            <a:effectLst/>
          </c:spPr>
          <c:invertIfNegative val="0"/>
          <c:val>
            <c:numRef>
              <c:f>'budget vs actual'!$C$2:$C$13</c:f>
              <c:numCache>
                <c:formatCode>General</c:formatCode>
                <c:ptCount val="12"/>
                <c:pt idx="0">
                  <c:v>17426</c:v>
                </c:pt>
                <c:pt idx="1">
                  <c:v>17045</c:v>
                </c:pt>
                <c:pt idx="2">
                  <c:v>17295</c:v>
                </c:pt>
                <c:pt idx="3">
                  <c:v>17071</c:v>
                </c:pt>
                <c:pt idx="4">
                  <c:v>16487</c:v>
                </c:pt>
                <c:pt idx="5">
                  <c:v>16622</c:v>
                </c:pt>
                <c:pt idx="6">
                  <c:v>16770</c:v>
                </c:pt>
                <c:pt idx="7">
                  <c:v>17269</c:v>
                </c:pt>
                <c:pt idx="8">
                  <c:v>17023</c:v>
                </c:pt>
                <c:pt idx="9">
                  <c:v>17073</c:v>
                </c:pt>
                <c:pt idx="10">
                  <c:v>17123</c:v>
                </c:pt>
                <c:pt idx="11">
                  <c:v>17440</c:v>
                </c:pt>
              </c:numCache>
            </c:numRef>
          </c:val>
          <c:extLst>
            <c:ext xmlns:c16="http://schemas.microsoft.com/office/drawing/2014/chart" uri="{C3380CC4-5D6E-409C-BE32-E72D297353CC}">
              <c16:uniqueId val="{00000001-DFB7-4BDF-88D3-25B90484BD11}"/>
            </c:ext>
          </c:extLst>
        </c:ser>
        <c:dLbls>
          <c:showLegendKey val="0"/>
          <c:showVal val="0"/>
          <c:showCatName val="0"/>
          <c:showSerName val="0"/>
          <c:showPercent val="0"/>
          <c:showBubbleSize val="0"/>
        </c:dLbls>
        <c:gapWidth val="219"/>
        <c:overlap val="-27"/>
        <c:axId val="1792406671"/>
        <c:axId val="1792407631"/>
      </c:barChart>
      <c:catAx>
        <c:axId val="17924066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407631"/>
        <c:crosses val="autoZero"/>
        <c:auto val="1"/>
        <c:lblAlgn val="ctr"/>
        <c:lblOffset val="100"/>
        <c:noMultiLvlLbl val="0"/>
      </c:catAx>
      <c:valAx>
        <c:axId val="179240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40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'profit margn by category (2)'!$E$1</c:f>
              <c:strCache>
                <c:ptCount val="1"/>
                <c:pt idx="0">
                  <c:v>profit_margin_pct</c:v>
                </c:pt>
              </c:strCache>
            </c:strRef>
          </c:tx>
          <c:spPr>
            <a:solidFill>
              <a:schemeClr val="accent1"/>
            </a:solidFill>
            <a:ln>
              <a:noFill/>
            </a:ln>
            <a:effectLst/>
          </c:spPr>
          <c:invertIfNegative val="0"/>
          <c:cat>
            <c:strRef>
              <c:f>'profit margn by category (2)'!$A$2:$A$3</c:f>
              <c:strCache>
                <c:ptCount val="2"/>
                <c:pt idx="0">
                  <c:v>Social Media Ads</c:v>
                </c:pt>
                <c:pt idx="1">
                  <c:v>Student Services</c:v>
                </c:pt>
              </c:strCache>
            </c:strRef>
          </c:cat>
          <c:val>
            <c:numRef>
              <c:f>'profit margn by category (2)'!$E$2:$E$3</c:f>
              <c:numCache>
                <c:formatCode>General</c:formatCode>
                <c:ptCount val="2"/>
                <c:pt idx="0">
                  <c:v>81.510000000000005</c:v>
                </c:pt>
                <c:pt idx="1">
                  <c:v>92.41</c:v>
                </c:pt>
              </c:numCache>
            </c:numRef>
          </c:val>
          <c:extLst>
            <c:ext xmlns:c16="http://schemas.microsoft.com/office/drawing/2014/chart" uri="{C3380CC4-5D6E-409C-BE32-E72D297353CC}">
              <c16:uniqueId val="{00000000-935D-4998-A07D-83570B8AEB77}"/>
            </c:ext>
          </c:extLst>
        </c:ser>
        <c:dLbls>
          <c:showLegendKey val="0"/>
          <c:showVal val="0"/>
          <c:showCatName val="0"/>
          <c:showSerName val="0"/>
          <c:showPercent val="0"/>
          <c:showBubbleSize val="0"/>
        </c:dLbls>
        <c:gapWidth val="182"/>
        <c:axId val="1778546543"/>
        <c:axId val="1778547023"/>
      </c:barChart>
      <c:catAx>
        <c:axId val="177854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547023"/>
        <c:crosses val="autoZero"/>
        <c:auto val="1"/>
        <c:lblAlgn val="ctr"/>
        <c:lblOffset val="100"/>
        <c:noMultiLvlLbl val="0"/>
      </c:catAx>
      <c:valAx>
        <c:axId val="1778547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546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'Proofit by month'!$A$2:$A$13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'Proofit by month'!$B$2:$B$13</c:f>
              <c:numCache>
                <c:formatCode>General</c:formatCode>
                <c:ptCount val="12"/>
                <c:pt idx="0">
                  <c:v>139408</c:v>
                </c:pt>
                <c:pt idx="1">
                  <c:v>136360</c:v>
                </c:pt>
                <c:pt idx="2">
                  <c:v>138360</c:v>
                </c:pt>
                <c:pt idx="3">
                  <c:v>136568</c:v>
                </c:pt>
                <c:pt idx="4">
                  <c:v>131896</c:v>
                </c:pt>
                <c:pt idx="5">
                  <c:v>132976</c:v>
                </c:pt>
                <c:pt idx="6">
                  <c:v>134160</c:v>
                </c:pt>
                <c:pt idx="7">
                  <c:v>138152</c:v>
                </c:pt>
                <c:pt idx="8">
                  <c:v>136184</c:v>
                </c:pt>
                <c:pt idx="9">
                  <c:v>136584</c:v>
                </c:pt>
                <c:pt idx="10">
                  <c:v>136984</c:v>
                </c:pt>
                <c:pt idx="11">
                  <c:v>139520</c:v>
                </c:pt>
              </c:numCache>
            </c:numRef>
          </c:val>
          <c:smooth val="0"/>
          <c:extLst>
            <c:ext xmlns:c16="http://schemas.microsoft.com/office/drawing/2014/chart" uri="{C3380CC4-5D6E-409C-BE32-E72D297353CC}">
              <c16:uniqueId val="{00000000-7E8A-4FBE-A54C-6D1EAD027F29}"/>
            </c:ext>
          </c:extLst>
        </c:ser>
        <c:ser>
          <c:idx val="1"/>
          <c:order val="1"/>
          <c:spPr>
            <a:ln w="28575" cap="rnd">
              <a:solidFill>
                <a:schemeClr val="accent2"/>
              </a:solidFill>
              <a:round/>
            </a:ln>
            <a:effectLst/>
          </c:spPr>
          <c:marker>
            <c:symbol val="none"/>
          </c:marker>
          <c:cat>
            <c:strRef>
              <c:f>'Proofit by month'!$A$2:$A$13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'Proofit by month'!$C$2:$C$13</c:f>
              <c:numCache>
                <c:formatCode>General</c:formatCode>
                <c:ptCount val="12"/>
                <c:pt idx="0">
                  <c:v>14554</c:v>
                </c:pt>
                <c:pt idx="1">
                  <c:v>14992</c:v>
                </c:pt>
                <c:pt idx="2">
                  <c:v>14464</c:v>
                </c:pt>
                <c:pt idx="3">
                  <c:v>14722</c:v>
                </c:pt>
                <c:pt idx="4">
                  <c:v>14644</c:v>
                </c:pt>
                <c:pt idx="5">
                  <c:v>14970</c:v>
                </c:pt>
                <c:pt idx="6">
                  <c:v>14588</c:v>
                </c:pt>
                <c:pt idx="7">
                  <c:v>14484</c:v>
                </c:pt>
                <c:pt idx="8">
                  <c:v>14652</c:v>
                </c:pt>
                <c:pt idx="9">
                  <c:v>14820</c:v>
                </c:pt>
                <c:pt idx="10">
                  <c:v>14576</c:v>
                </c:pt>
                <c:pt idx="11">
                  <c:v>14662</c:v>
                </c:pt>
              </c:numCache>
            </c:numRef>
          </c:val>
          <c:smooth val="0"/>
          <c:extLst>
            <c:ext xmlns:c16="http://schemas.microsoft.com/office/drawing/2014/chart" uri="{C3380CC4-5D6E-409C-BE32-E72D297353CC}">
              <c16:uniqueId val="{00000001-7E8A-4FBE-A54C-6D1EAD027F29}"/>
            </c:ext>
          </c:extLst>
        </c:ser>
        <c:dLbls>
          <c:showLegendKey val="0"/>
          <c:showVal val="0"/>
          <c:showCatName val="0"/>
          <c:showSerName val="0"/>
          <c:showPercent val="0"/>
          <c:showBubbleSize val="0"/>
        </c:dLbls>
        <c:smooth val="0"/>
        <c:axId val="1777590047"/>
        <c:axId val="1777589087"/>
      </c:lineChart>
      <c:catAx>
        <c:axId val="177759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589087"/>
        <c:crosses val="autoZero"/>
        <c:auto val="1"/>
        <c:lblAlgn val="ctr"/>
        <c:lblOffset val="100"/>
        <c:noMultiLvlLbl val="0"/>
      </c:catAx>
      <c:valAx>
        <c:axId val="177758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590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'Proofit by month'!$D$1</c:f>
              <c:strCache>
                <c:ptCount val="1"/>
                <c:pt idx="0">
                  <c:v>profit</c:v>
                </c:pt>
              </c:strCache>
            </c:strRef>
          </c:tx>
          <c:spPr>
            <a:ln w="28575" cap="rnd">
              <a:solidFill>
                <a:schemeClr val="accent1"/>
              </a:solidFill>
              <a:round/>
            </a:ln>
            <a:effectLst/>
          </c:spPr>
          <c:marker>
            <c:symbol val="none"/>
          </c:marker>
          <c:cat>
            <c:strRef>
              <c:f>'Proofit by month'!$A$2:$A$13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'Proofit by month'!$D$2:$D$13</c:f>
              <c:numCache>
                <c:formatCode>General</c:formatCode>
                <c:ptCount val="12"/>
                <c:pt idx="0">
                  <c:v>124854</c:v>
                </c:pt>
                <c:pt idx="1">
                  <c:v>121368</c:v>
                </c:pt>
                <c:pt idx="2">
                  <c:v>123896</c:v>
                </c:pt>
                <c:pt idx="3">
                  <c:v>121846</c:v>
                </c:pt>
                <c:pt idx="4">
                  <c:v>117252</c:v>
                </c:pt>
                <c:pt idx="5">
                  <c:v>118006</c:v>
                </c:pt>
                <c:pt idx="6">
                  <c:v>119572</c:v>
                </c:pt>
                <c:pt idx="7">
                  <c:v>123668</c:v>
                </c:pt>
                <c:pt idx="8">
                  <c:v>121532</c:v>
                </c:pt>
                <c:pt idx="9">
                  <c:v>121764</c:v>
                </c:pt>
                <c:pt idx="10">
                  <c:v>122408</c:v>
                </c:pt>
                <c:pt idx="11">
                  <c:v>124858</c:v>
                </c:pt>
              </c:numCache>
            </c:numRef>
          </c:val>
          <c:smooth val="0"/>
          <c:extLst>
            <c:ext xmlns:c16="http://schemas.microsoft.com/office/drawing/2014/chart" uri="{C3380CC4-5D6E-409C-BE32-E72D297353CC}">
              <c16:uniqueId val="{00000000-0C40-4DDC-8B8B-1FAB76BC69EF}"/>
            </c:ext>
          </c:extLst>
        </c:ser>
        <c:dLbls>
          <c:showLegendKey val="0"/>
          <c:showVal val="0"/>
          <c:showCatName val="0"/>
          <c:showSerName val="0"/>
          <c:showPercent val="0"/>
          <c:showBubbleSize val="0"/>
        </c:dLbls>
        <c:smooth val="0"/>
        <c:axId val="1783296367"/>
        <c:axId val="1783298287"/>
      </c:lineChart>
      <c:catAx>
        <c:axId val="178329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298287"/>
        <c:crosses val="autoZero"/>
        <c:auto val="1"/>
        <c:lblAlgn val="ctr"/>
        <c:lblOffset val="100"/>
        <c:noMultiLvlLbl val="0"/>
      </c:catAx>
      <c:valAx>
        <c:axId val="178329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2963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19049</xdr:colOff>
      <xdr:row>3</xdr:row>
      <xdr:rowOff>190499</xdr:rowOff>
    </xdr:from>
    <xdr:to>
      <xdr:col>6</xdr:col>
      <xdr:colOff>1504950</xdr:colOff>
      <xdr:row>19</xdr:row>
      <xdr:rowOff>9524</xdr:rowOff>
    </xdr:to>
    <xdr:graphicFrame macro="">
      <xdr:nvGraphicFramePr>
        <xdr:cNvPr id="2" name="Chart 1">
          <a:extLst>
            <a:ext uri="{FF2B5EF4-FFF2-40B4-BE49-F238E27FC236}">
              <a16:creationId xmlns:a16="http://schemas.microsoft.com/office/drawing/2014/main" id="{49921DBE-CD76-4C08-92EF-539CC15D0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1504950</xdr:colOff>
      <xdr:row>3</xdr:row>
      <xdr:rowOff>190499</xdr:rowOff>
    </xdr:from>
    <xdr:to>
      <xdr:col>14</xdr:col>
      <xdr:colOff>600074</xdr:colOff>
      <xdr:row>18</xdr:row>
      <xdr:rowOff>180974</xdr:rowOff>
    </xdr:to>
    <xdr:graphicFrame macro="">
      <xdr:nvGraphicFramePr>
        <xdr:cNvPr id="3" name="Chart 2">
          <a:extLst>
            <a:ext uri="{FF2B5EF4-FFF2-40B4-BE49-F238E27FC236}">
              <a16:creationId xmlns:a16="http://schemas.microsoft.com/office/drawing/2014/main" id="{78A4F511-E767-4368-B5FB-CC4FC85C1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7</xdr:col>
      <xdr:colOff>9525</xdr:colOff>
      <xdr:row>34</xdr:row>
      <xdr:rowOff>133350</xdr:rowOff>
    </xdr:to>
    <xdr:graphicFrame macro="">
      <xdr:nvGraphicFramePr>
        <xdr:cNvPr id="4" name="Chart 3">
          <a:extLst>
            <a:ext uri="{FF2B5EF4-FFF2-40B4-BE49-F238E27FC236}">
              <a16:creationId xmlns:a16="http://schemas.microsoft.com/office/drawing/2014/main" id="{B7852C76-0FAC-43FB-9CAF-F6AC530F6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19</xdr:row>
      <xdr:rowOff>180975</xdr:rowOff>
    </xdr:from>
    <xdr:to>
      <xdr:col>15</xdr:col>
      <xdr:colOff>19050</xdr:colOff>
      <xdr:row>34</xdr:row>
      <xdr:rowOff>19050</xdr:rowOff>
    </xdr:to>
    <xdr:graphicFrame macro="">
      <xdr:nvGraphicFramePr>
        <xdr:cNvPr id="5" name="Chart 4">
          <a:extLst>
            <a:ext uri="{FF2B5EF4-FFF2-40B4-BE49-F238E27FC236}">
              <a16:creationId xmlns:a16="http://schemas.microsoft.com/office/drawing/2014/main" id="{DF3C83C7-177B-432F-B8F4-E23E6F1AE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19050</xdr:rowOff>
    </xdr:from>
    <xdr:to>
      <xdr:col>3</xdr:col>
      <xdr:colOff>276224</xdr:colOff>
      <xdr:row>4</xdr:row>
      <xdr:rowOff>0</xdr:rowOff>
    </xdr:to>
    <xdr:sp macro="" textlink="B2">
      <xdr:nvSpPr>
        <xdr:cNvPr id="6" name="Rectangle 5">
          <a:extLst>
            <a:ext uri="{FF2B5EF4-FFF2-40B4-BE49-F238E27FC236}">
              <a16:creationId xmlns:a16="http://schemas.microsoft.com/office/drawing/2014/main" id="{8E59EC8D-9EB5-4841-0ACE-525B166373FC}"/>
            </a:ext>
          </a:extLst>
        </xdr:cNvPr>
        <xdr:cNvSpPr/>
      </xdr:nvSpPr>
      <xdr:spPr>
        <a:xfrm>
          <a:off x="0" y="19050"/>
          <a:ext cx="3019424" cy="9525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ln>
                <a:noFill/>
              </a:ln>
              <a:solidFill>
                <a:schemeClr val="tx1"/>
              </a:solidFill>
              <a:effectLst/>
              <a:latin typeface="+mn-lt"/>
              <a:ea typeface="+mn-ea"/>
              <a:cs typeface="+mn-cs"/>
            </a:rPr>
            <a:t>Total Revenue</a:t>
          </a:r>
          <a:r>
            <a:rPr lang="en-IN" sz="2400">
              <a:ln>
                <a:noFill/>
              </a:ln>
              <a:solidFill>
                <a:schemeClr val="tx1"/>
              </a:solidFill>
              <a:effectLst/>
            </a:rPr>
            <a:t> </a:t>
          </a:r>
          <a:br>
            <a:rPr lang="en-US" sz="2400" b="1" i="0" u="none" strike="noStrike">
              <a:ln>
                <a:noFill/>
              </a:ln>
              <a:solidFill>
                <a:srgbClr val="000000"/>
              </a:solidFill>
              <a:effectLst/>
              <a:latin typeface="Aptos Narrow"/>
            </a:rPr>
          </a:br>
          <a:fld id="{56A2D2D7-7BCD-4C7F-916C-D231CF900416}" type="TxLink">
            <a:rPr lang="en-US" sz="2400" b="1" i="0" u="none" strike="noStrike">
              <a:ln>
                <a:noFill/>
              </a:ln>
              <a:solidFill>
                <a:srgbClr val="000000"/>
              </a:solidFill>
              <a:effectLst/>
              <a:latin typeface="Aptos Narrow"/>
            </a:rPr>
            <a:pPr algn="ctr"/>
            <a:t>$16,37,152</a:t>
          </a:fld>
          <a:endParaRPr lang="en-IN" sz="1100">
            <a:ln>
              <a:noFill/>
            </a:ln>
            <a:effectLst/>
          </a:endParaRPr>
        </a:p>
      </xdr:txBody>
    </xdr:sp>
    <xdr:clientData/>
  </xdr:twoCellAnchor>
  <xdr:twoCellAnchor>
    <xdr:from>
      <xdr:col>3</xdr:col>
      <xdr:colOff>295275</xdr:colOff>
      <xdr:row>0</xdr:row>
      <xdr:rowOff>19049</xdr:rowOff>
    </xdr:from>
    <xdr:to>
      <xdr:col>6</xdr:col>
      <xdr:colOff>800100</xdr:colOff>
      <xdr:row>4</xdr:row>
      <xdr:rowOff>9524</xdr:rowOff>
    </xdr:to>
    <xdr:sp macro="" textlink="E2">
      <xdr:nvSpPr>
        <xdr:cNvPr id="7" name="Rectangle 6">
          <a:extLst>
            <a:ext uri="{FF2B5EF4-FFF2-40B4-BE49-F238E27FC236}">
              <a16:creationId xmlns:a16="http://schemas.microsoft.com/office/drawing/2014/main" id="{8DBC271B-7D3E-473B-A348-CA73D5D5AA7D}"/>
            </a:ext>
          </a:extLst>
        </xdr:cNvPr>
        <xdr:cNvSpPr/>
      </xdr:nvSpPr>
      <xdr:spPr>
        <a:xfrm>
          <a:off x="3038475" y="19049"/>
          <a:ext cx="2838450" cy="96202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tx1"/>
              </a:solidFill>
              <a:effectLst/>
              <a:latin typeface="+mn-lt"/>
              <a:ea typeface="+mn-ea"/>
              <a:cs typeface="+mn-cs"/>
            </a:rPr>
            <a:t>Total Expense</a:t>
          </a:r>
          <a:r>
            <a:rPr lang="en-IN" sz="2400">
              <a:solidFill>
                <a:schemeClr val="tx1"/>
              </a:solidFill>
              <a:effectLst/>
            </a:rPr>
            <a:t> </a:t>
          </a:r>
          <a:endParaRPr lang="en-IN" sz="1100" b="0" i="0" u="none" strike="noStrike">
            <a:solidFill>
              <a:schemeClr val="tx1"/>
            </a:solidFill>
            <a:effectLst/>
            <a:latin typeface="+mn-lt"/>
            <a:ea typeface="+mn-ea"/>
            <a:cs typeface="+mn-cs"/>
          </a:endParaRPr>
        </a:p>
        <a:p>
          <a:pPr algn="ctr"/>
          <a:fld id="{BB1D968F-0945-47C7-B37E-6FBF4893584C}" type="TxLink">
            <a:rPr lang="en-US" sz="2400" b="1" i="0" u="none" strike="noStrike">
              <a:ln>
                <a:noFill/>
              </a:ln>
              <a:solidFill>
                <a:srgbClr val="000000"/>
              </a:solidFill>
              <a:effectLst/>
              <a:latin typeface="Aptos Narrow"/>
              <a:ea typeface="+mn-ea"/>
              <a:cs typeface="+mn-cs"/>
            </a:rPr>
            <a:t>$88,064</a:t>
          </a:fld>
          <a:endParaRPr lang="en-IN" sz="1100">
            <a:ln>
              <a:noFill/>
            </a:ln>
            <a:effectLst/>
          </a:endParaRPr>
        </a:p>
      </xdr:txBody>
    </xdr:sp>
    <xdr:clientData/>
  </xdr:twoCellAnchor>
  <xdr:twoCellAnchor>
    <xdr:from>
      <xdr:col>6</xdr:col>
      <xdr:colOff>809625</xdr:colOff>
      <xdr:row>0</xdr:row>
      <xdr:rowOff>19050</xdr:rowOff>
    </xdr:from>
    <xdr:to>
      <xdr:col>10</xdr:col>
      <xdr:colOff>200025</xdr:colOff>
      <xdr:row>4</xdr:row>
      <xdr:rowOff>0</xdr:rowOff>
    </xdr:to>
    <xdr:sp macro="" textlink="G2">
      <xdr:nvSpPr>
        <xdr:cNvPr id="8" name="Rectangle 7">
          <a:extLst>
            <a:ext uri="{FF2B5EF4-FFF2-40B4-BE49-F238E27FC236}">
              <a16:creationId xmlns:a16="http://schemas.microsoft.com/office/drawing/2014/main" id="{ABA61D55-5D30-4C6D-9343-BB261211364C}"/>
            </a:ext>
          </a:extLst>
        </xdr:cNvPr>
        <xdr:cNvSpPr/>
      </xdr:nvSpPr>
      <xdr:spPr>
        <a:xfrm>
          <a:off x="5886450" y="19050"/>
          <a:ext cx="2771775" cy="9525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ln>
                <a:noFill/>
              </a:ln>
              <a:solidFill>
                <a:srgbClr val="000000"/>
              </a:solidFill>
              <a:effectLst/>
              <a:latin typeface="+mn-lt"/>
              <a:ea typeface="+mn-ea"/>
              <a:cs typeface="+mn-cs"/>
            </a:rPr>
            <a:t>Total Profit</a:t>
          </a:r>
        </a:p>
        <a:p>
          <a:pPr algn="ctr"/>
          <a:fld id="{0F035E80-AC89-4C2F-88D8-C2F8187718EA}" type="TxLink">
            <a:rPr lang="en-US" sz="2400" b="1" i="0" u="none" strike="noStrike">
              <a:ln>
                <a:noFill/>
              </a:ln>
              <a:solidFill>
                <a:srgbClr val="000000"/>
              </a:solidFill>
              <a:effectLst/>
              <a:latin typeface="Aptos Narrow"/>
              <a:ea typeface="+mn-ea"/>
              <a:cs typeface="+mn-cs"/>
            </a:rPr>
            <a:t>$15,49,088</a:t>
          </a:fld>
          <a:endParaRPr lang="en-IN" sz="1100">
            <a:ln>
              <a:noFill/>
            </a:ln>
            <a:effectLst/>
          </a:endParaRPr>
        </a:p>
      </xdr:txBody>
    </xdr:sp>
    <xdr:clientData/>
  </xdr:twoCellAnchor>
  <xdr:twoCellAnchor>
    <xdr:from>
      <xdr:col>10</xdr:col>
      <xdr:colOff>209550</xdr:colOff>
      <xdr:row>0</xdr:row>
      <xdr:rowOff>9525</xdr:rowOff>
    </xdr:from>
    <xdr:to>
      <xdr:col>15</xdr:col>
      <xdr:colOff>0</xdr:colOff>
      <xdr:row>4</xdr:row>
      <xdr:rowOff>9525</xdr:rowOff>
    </xdr:to>
    <xdr:sp macro="" textlink="J2">
      <xdr:nvSpPr>
        <xdr:cNvPr id="9" name="Rectangle 8">
          <a:extLst>
            <a:ext uri="{FF2B5EF4-FFF2-40B4-BE49-F238E27FC236}">
              <a16:creationId xmlns:a16="http://schemas.microsoft.com/office/drawing/2014/main" id="{F8DD2DF3-2505-4D34-B142-FECCE2CEBAA5}"/>
            </a:ext>
          </a:extLst>
        </xdr:cNvPr>
        <xdr:cNvSpPr/>
      </xdr:nvSpPr>
      <xdr:spPr>
        <a:xfrm>
          <a:off x="8667750" y="9525"/>
          <a:ext cx="2838450" cy="97155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tx1"/>
              </a:solidFill>
              <a:effectLst/>
              <a:latin typeface="+mn-lt"/>
              <a:ea typeface="+mn-ea"/>
              <a:cs typeface="+mn-cs"/>
            </a:rPr>
            <a:t>Profit Margin</a:t>
          </a:r>
          <a:endParaRPr lang="en-IN" sz="2400" b="0" i="0" u="none" strike="noStrike">
            <a:solidFill>
              <a:schemeClr val="tx1"/>
            </a:solidFill>
            <a:effectLst/>
            <a:latin typeface="+mn-lt"/>
            <a:ea typeface="+mn-ea"/>
            <a:cs typeface="+mn-cs"/>
          </a:endParaRPr>
        </a:p>
        <a:p>
          <a:pPr algn="ctr"/>
          <a:fld id="{02F1AFFA-4855-4ED6-BB48-3193F1548C4E}" type="TxLink">
            <a:rPr lang="en-US" sz="2400" b="1" i="0" u="none" strike="noStrike">
              <a:ln>
                <a:noFill/>
              </a:ln>
              <a:solidFill>
                <a:srgbClr val="000000"/>
              </a:solidFill>
              <a:effectLst/>
              <a:latin typeface="Aptos Narrow"/>
              <a:ea typeface="+mn-ea"/>
              <a:cs typeface="+mn-cs"/>
            </a:rPr>
            <a:t>95%</a:t>
          </a:fld>
          <a:endParaRPr lang="en-IN" sz="1100">
            <a:ln>
              <a:noFill/>
            </a:ln>
            <a:effectLst/>
          </a:endParaRPr>
        </a:p>
      </xdr:txBody>
    </xdr:sp>
    <xdr:clientData/>
  </xdr:twoCellAnchor>
  <xdr:twoCellAnchor>
    <xdr:from>
      <xdr:col>0</xdr:col>
      <xdr:colOff>0</xdr:colOff>
      <xdr:row>18</xdr:row>
      <xdr:rowOff>180975</xdr:rowOff>
    </xdr:from>
    <xdr:to>
      <xdr:col>7</xdr:col>
      <xdr:colOff>0</xdr:colOff>
      <xdr:row>20</xdr:row>
      <xdr:rowOff>66675</xdr:rowOff>
    </xdr:to>
    <xdr:sp macro="" textlink="">
      <xdr:nvSpPr>
        <xdr:cNvPr id="11" name="TextBox 10">
          <a:extLst>
            <a:ext uri="{FF2B5EF4-FFF2-40B4-BE49-F238E27FC236}">
              <a16:creationId xmlns:a16="http://schemas.microsoft.com/office/drawing/2014/main" id="{B1FF9E30-03A6-BD27-B5AF-99A93FCC87B0}"/>
            </a:ext>
          </a:extLst>
        </xdr:cNvPr>
        <xdr:cNvSpPr txBox="1"/>
      </xdr:nvSpPr>
      <xdr:spPr>
        <a:xfrm>
          <a:off x="0" y="3819525"/>
          <a:ext cx="6600825"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Revenue remained stable with a slight increase toward year-end</a:t>
          </a:r>
          <a:endParaRPr lang="en-IN" sz="1100"/>
        </a:p>
      </xdr:txBody>
    </xdr:sp>
    <xdr:clientData/>
  </xdr:twoCellAnchor>
  <xdr:twoCellAnchor>
    <xdr:from>
      <xdr:col>7</xdr:col>
      <xdr:colOff>9525</xdr:colOff>
      <xdr:row>18</xdr:row>
      <xdr:rowOff>180975</xdr:rowOff>
    </xdr:from>
    <xdr:to>
      <xdr:col>15</xdr:col>
      <xdr:colOff>19050</xdr:colOff>
      <xdr:row>20</xdr:row>
      <xdr:rowOff>38100</xdr:rowOff>
    </xdr:to>
    <xdr:sp macro="" textlink="">
      <xdr:nvSpPr>
        <xdr:cNvPr id="12" name="TextBox 11">
          <a:extLst>
            <a:ext uri="{FF2B5EF4-FFF2-40B4-BE49-F238E27FC236}">
              <a16:creationId xmlns:a16="http://schemas.microsoft.com/office/drawing/2014/main" id="{7721B8FD-2E0F-71BD-7F9E-00F3CE630F07}"/>
            </a:ext>
          </a:extLst>
        </xdr:cNvPr>
        <xdr:cNvSpPr txBox="1"/>
      </xdr:nvSpPr>
      <xdr:spPr>
        <a:xfrm>
          <a:off x="6610350" y="3819525"/>
          <a:ext cx="49149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Profit dropped in May–June due to higher expenses </a:t>
          </a:r>
          <a:endParaRPr lang="en-IN" sz="1100"/>
        </a:p>
      </xdr:txBody>
    </xdr:sp>
    <xdr:clientData/>
  </xdr:twoCellAnchor>
  <xdr:twoCellAnchor>
    <xdr:from>
      <xdr:col>0</xdr:col>
      <xdr:colOff>19050</xdr:colOff>
      <xdr:row>34</xdr:row>
      <xdr:rowOff>76200</xdr:rowOff>
    </xdr:from>
    <xdr:to>
      <xdr:col>7</xdr:col>
      <xdr:colOff>9525</xdr:colOff>
      <xdr:row>35</xdr:row>
      <xdr:rowOff>142875</xdr:rowOff>
    </xdr:to>
    <xdr:sp macro="" textlink="">
      <xdr:nvSpPr>
        <xdr:cNvPr id="13" name="TextBox 12">
          <a:extLst>
            <a:ext uri="{FF2B5EF4-FFF2-40B4-BE49-F238E27FC236}">
              <a16:creationId xmlns:a16="http://schemas.microsoft.com/office/drawing/2014/main" id="{A1C63B43-98A3-7661-5618-12C16AAC7C5D}"/>
            </a:ext>
          </a:extLst>
        </xdr:cNvPr>
        <xdr:cNvSpPr txBox="1"/>
      </xdr:nvSpPr>
      <xdr:spPr>
        <a:xfrm>
          <a:off x="19050" y="6762750"/>
          <a:ext cx="6591300"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Student Services is the most profitable category (92.4% margin)</a:t>
          </a:r>
          <a:endParaRPr lang="en-IN" sz="1100"/>
        </a:p>
      </xdr:txBody>
    </xdr:sp>
    <xdr:clientData/>
  </xdr:twoCellAnchor>
  <xdr:twoCellAnchor>
    <xdr:from>
      <xdr:col>6</xdr:col>
      <xdr:colOff>1514475</xdr:colOff>
      <xdr:row>33</xdr:row>
      <xdr:rowOff>180976</xdr:rowOff>
    </xdr:from>
    <xdr:to>
      <xdr:col>15</xdr:col>
      <xdr:colOff>28575</xdr:colOff>
      <xdr:row>36</xdr:row>
      <xdr:rowOff>9526</xdr:rowOff>
    </xdr:to>
    <xdr:sp macro="" textlink="">
      <xdr:nvSpPr>
        <xdr:cNvPr id="14" name="TextBox 13">
          <a:extLst>
            <a:ext uri="{FF2B5EF4-FFF2-40B4-BE49-F238E27FC236}">
              <a16:creationId xmlns:a16="http://schemas.microsoft.com/office/drawing/2014/main" id="{07154BAF-8A87-E994-E076-CF66B754FEB0}"/>
            </a:ext>
          </a:extLst>
        </xdr:cNvPr>
        <xdr:cNvSpPr txBox="1"/>
      </xdr:nvSpPr>
      <xdr:spPr>
        <a:xfrm>
          <a:off x="6591300" y="6677026"/>
          <a:ext cx="4943475"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Several months exceeded budget, indicating cost control issues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709612</xdr:colOff>
      <xdr:row>15</xdr:row>
      <xdr:rowOff>42862</xdr:rowOff>
    </xdr:from>
    <xdr:to>
      <xdr:col>7</xdr:col>
      <xdr:colOff>481012</xdr:colOff>
      <xdr:row>29</xdr:row>
      <xdr:rowOff>119062</xdr:rowOff>
    </xdr:to>
    <xdr:graphicFrame macro="">
      <xdr:nvGraphicFramePr>
        <xdr:cNvPr id="2" name="Chart 1">
          <a:extLst>
            <a:ext uri="{FF2B5EF4-FFF2-40B4-BE49-F238E27FC236}">
              <a16:creationId xmlns:a16="http://schemas.microsoft.com/office/drawing/2014/main" id="{5784693E-04D8-AB60-3FF2-518035804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185737</xdr:rowOff>
    </xdr:from>
    <xdr:to>
      <xdr:col>6</xdr:col>
      <xdr:colOff>342900</xdr:colOff>
      <xdr:row>19</xdr:row>
      <xdr:rowOff>71437</xdr:rowOff>
    </xdr:to>
    <xdr:graphicFrame macro="">
      <xdr:nvGraphicFramePr>
        <xdr:cNvPr id="2" name="Chart 1">
          <a:extLst>
            <a:ext uri="{FF2B5EF4-FFF2-40B4-BE49-F238E27FC236}">
              <a16:creationId xmlns:a16="http://schemas.microsoft.com/office/drawing/2014/main" id="{806FF22E-23C4-505E-90AB-E2955397C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504825</xdr:colOff>
      <xdr:row>0</xdr:row>
      <xdr:rowOff>90487</xdr:rowOff>
    </xdr:from>
    <xdr:to>
      <xdr:col>12</xdr:col>
      <xdr:colOff>200025</xdr:colOff>
      <xdr:row>14</xdr:row>
      <xdr:rowOff>166687</xdr:rowOff>
    </xdr:to>
    <xdr:graphicFrame macro="">
      <xdr:nvGraphicFramePr>
        <xdr:cNvPr id="2" name="Chart 1">
          <a:extLst>
            <a:ext uri="{FF2B5EF4-FFF2-40B4-BE49-F238E27FC236}">
              <a16:creationId xmlns:a16="http://schemas.microsoft.com/office/drawing/2014/main" id="{79AAA8B1-80E1-2049-3C38-4961106EA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514350</xdr:colOff>
      <xdr:row>15</xdr:row>
      <xdr:rowOff>166687</xdr:rowOff>
    </xdr:from>
    <xdr:to>
      <xdr:col>12</xdr:col>
      <xdr:colOff>209550</xdr:colOff>
      <xdr:row>30</xdr:row>
      <xdr:rowOff>52387</xdr:rowOff>
    </xdr:to>
    <xdr:graphicFrame macro="">
      <xdr:nvGraphicFramePr>
        <xdr:cNvPr id="3" name="Chart 2">
          <a:extLst>
            <a:ext uri="{FF2B5EF4-FFF2-40B4-BE49-F238E27FC236}">
              <a16:creationId xmlns:a16="http://schemas.microsoft.com/office/drawing/2014/main" id="{BB6BCB29-984E-D23C-9913-D4C5D9643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466725</xdr:colOff>
      <xdr:row>2</xdr:row>
      <xdr:rowOff>161925</xdr:rowOff>
    </xdr:from>
    <xdr:to>
      <xdr:col>15</xdr:col>
      <xdr:colOff>466725</xdr:colOff>
      <xdr:row>16</xdr:row>
      <xdr:rowOff>161925</xdr:rowOff>
    </xdr:to>
    <mc:AlternateContent xmlns:mc="http://schemas.openxmlformats.org/markup-compatibility/2006">
      <mc:Choice xmlns:sle15="http://schemas.microsoft.com/office/drawing/2012/slicer" Requires="sle15">
        <xdr:graphicFrame macro="">
          <xdr:nvGraphicFramePr>
            <xdr:cNvPr id="4" name="Month">
              <a:extLst>
                <a:ext uri="{FF2B5EF4-FFF2-40B4-BE49-F238E27FC236}">
                  <a16:creationId xmlns:a16="http://schemas.microsoft.com/office/drawing/2014/main" id="{39E7D0FC-5F2C-F167-4C37-09E6969628C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715375" y="5429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0531268-ED09-46E2-B55D-93AD6ADA6BD1}" autoFormatId="16" applyNumberFormats="0" applyBorderFormats="0" applyFontFormats="0" applyPatternFormats="0" applyAlignmentFormats="0" applyWidthHeightFormats="0">
  <queryTableRefresh nextId="5">
    <queryTableFields count="4">
      <queryTableField id="1" name="Month" tableColumnId="1"/>
      <queryTableField id="2" name="budget_income" tableColumnId="2"/>
      <queryTableField id="3" name="actual_income" tableColumnId="3"/>
      <queryTableField id="4" name="variance" tableColumnId="4"/>
    </queryTableFields>
  </queryTableRefresh>
  <extLst>
    <ext xmlns:x15="http://schemas.microsoft.com/office/spreadsheetml/2010/11/main" uri="{883FBD77-0823-4a55-B5E3-86C4891E6966}">
      <x15:queryTable sourceDataName="Query - budget vs actua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FF72669-EF88-4724-A32A-8EE1BA5F1947}" autoFormatId="16" applyNumberFormats="0" applyBorderFormats="0" applyFontFormats="0" applyPatternFormats="0" applyAlignmentFormats="0" applyWidthHeightFormats="0">
  <queryTableRefresh nextId="6">
    <queryTableFields count="5">
      <queryTableField id="1" name="category" tableColumnId="1"/>
      <queryTableField id="2" name="revenue" tableColumnId="2"/>
      <queryTableField id="3" name="expense" tableColumnId="3"/>
      <queryTableField id="4" name="profit" tableColumnId="4"/>
      <queryTableField id="5" name="profit_margin_pct" tableColumnId="5"/>
    </queryTableFields>
  </queryTableRefresh>
  <extLst>
    <ext xmlns:x15="http://schemas.microsoft.com/office/spreadsheetml/2010/11/main" uri="{883FBD77-0823-4a55-B5E3-86C4891E6966}">
      <x15:queryTable sourceDataName="Query - profit margn by category (2)"/>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D8C8CDB-69AE-430C-97C6-D381F235A3DB}" autoFormatId="16" applyNumberFormats="0" applyBorderFormats="0" applyFontFormats="0" applyPatternFormats="0" applyAlignmentFormats="0" applyWidthHeightFormats="0">
  <queryTableRefresh nextId="5">
    <queryTableFields count="4">
      <queryTableField id="1" name="Month" tableColumnId="1"/>
      <queryTableField id="2" name="total_revenue" tableColumnId="2"/>
      <queryTableField id="3" name="total_expense" tableColumnId="3"/>
      <queryTableField id="4" name="profit" tableColumnId="4"/>
    </queryTableFields>
  </queryTableRefresh>
  <extLst>
    <ext xmlns:x15="http://schemas.microsoft.com/office/spreadsheetml/2010/11/main" uri="{883FBD77-0823-4a55-B5E3-86C4891E6966}">
      <x15:queryTable sourceDataName="Query - Proofit by month"/>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BC27963-8BB0-4D27-8F22-7DCAE762085C}" autoFormatId="16" applyNumberFormats="0" applyBorderFormats="0" applyFontFormats="0" applyPatternFormats="0" applyAlignmentFormats="0" applyWidthHeightFormats="0">
  <queryTableRefresh nextId="3">
    <queryTableFields count="2">
      <queryTableField id="1" name="Month" tableColumnId="1"/>
      <queryTableField id="2" name="total_expense" tableColumnId="2"/>
    </queryTableFields>
  </queryTableRefresh>
  <extLst>
    <ext xmlns:x15="http://schemas.microsoft.com/office/spreadsheetml/2010/11/main" uri="{883FBD77-0823-4a55-B5E3-86C4891E6966}">
      <x15:queryTable sourceDataName="Query - Total expense by month"/>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A1C1F9B2-5D0D-4A52-9A7D-E3A0BCB7B710}" autoFormatId="16" applyNumberFormats="0" applyBorderFormats="0" applyFontFormats="0" applyPatternFormats="0" applyAlignmentFormats="0" applyWidthHeightFormats="0">
  <queryTableRefresh nextId="3">
    <queryTableFields count="2">
      <queryTableField id="1" name="Month" tableColumnId="1"/>
      <queryTableField id="2" name="total_revenue" tableColumnId="2"/>
    </queryTableFields>
  </queryTableRefresh>
  <extLst>
    <ext xmlns:x15="http://schemas.microsoft.com/office/spreadsheetml/2010/11/main" uri="{883FBD77-0823-4a55-B5E3-86C4891E6966}">
      <x15:queryTable sourceDataName="Query - Total revenue by month"/>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0CD73A5-82D4-4E03-9594-70140B658A63}" sourceName="Month">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F96ECBD-2FA0-4E76-BF9C-BD90F3CB1DB1}" cache="Slicer_Month" caption="Month" startItem="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855E27-1614-4CC3-805C-17C96ED12F83}" name="budget_vs_actual" displayName="budget_vs_actual" ref="A1:D13" tableType="queryTable" totalsRowShown="0">
  <autoFilter ref="A1:D13" xr:uid="{72855E27-1614-4CC3-805C-17C96ED12F83}"/>
  <tableColumns count="4">
    <tableColumn id="1" xr3:uid="{994CB49E-DEF6-42A8-B5FE-23D01F1A65E2}" uniqueName="1" name="Month" queryTableFieldId="1" dataDxfId="4"/>
    <tableColumn id="2" xr3:uid="{B9824D59-6E72-4A6B-BCD0-2D753596907B}" uniqueName="2" name="budget_income" queryTableFieldId="2"/>
    <tableColumn id="3" xr3:uid="{70A88565-8C47-479C-816C-AD8910858A06}" uniqueName="3" name="actual_income" queryTableFieldId="3"/>
    <tableColumn id="4" xr3:uid="{011D247E-F368-4B05-B039-4FABCA79269E}" uniqueName="4" name="varianc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71CB7C-BA5A-4B24-AAAA-ECD3CD9F82F1}" name="profit_margn_by_category__2" displayName="profit_margn_by_category__2" ref="A1:E3" tableType="queryTable" totalsRowShown="0">
  <autoFilter ref="A1:E3" xr:uid="{5B71CB7C-BA5A-4B24-AAAA-ECD3CD9F82F1}"/>
  <tableColumns count="5">
    <tableColumn id="1" xr3:uid="{B27A1F3F-B0C8-41F8-95CF-EA9797F45C7E}" uniqueName="1" name="category" queryTableFieldId="1" dataDxfId="3"/>
    <tableColumn id="2" xr3:uid="{68991692-5622-418B-9B67-D70A37E6830E}" uniqueName="2" name="revenue" queryTableFieldId="2"/>
    <tableColumn id="3" xr3:uid="{85F94CFD-3682-4F25-BCEE-05C2F0BC31CC}" uniqueName="3" name="expense" queryTableFieldId="3"/>
    <tableColumn id="4" xr3:uid="{82363245-01AC-4EC3-8794-E075E29C9AB5}" uniqueName="4" name="profit" queryTableFieldId="4"/>
    <tableColumn id="5" xr3:uid="{0A7F9283-0595-4537-BD4B-0DA92B0894A6}" uniqueName="5" name="profit_margin_pct"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75BF00-E7A3-44B8-8BE9-81C189B740AC}" name="Proofit_by_month" displayName="Proofit_by_month" ref="A1:D13" tableType="queryTable" totalsRowShown="0">
  <autoFilter ref="A1:D13" xr:uid="{1175BF00-E7A3-44B8-8BE9-81C189B740AC}"/>
  <tableColumns count="4">
    <tableColumn id="1" xr3:uid="{32BFF0AA-30A0-4F70-A7BE-86C917899BE0}" uniqueName="1" name="Month" queryTableFieldId="1" dataDxfId="2"/>
    <tableColumn id="2" xr3:uid="{43F93458-B127-4879-A5AF-2291B2D09602}" uniqueName="2" name="total_revenue" queryTableFieldId="2"/>
    <tableColumn id="3" xr3:uid="{4D4C1F82-3454-4E5C-ABB7-8B7CD42B95F8}" uniqueName="3" name="total_expense" queryTableFieldId="3"/>
    <tableColumn id="4" xr3:uid="{C72D158E-1669-44E8-B33C-6A38C8A2F685}" uniqueName="4" name="profit"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091687-7AB2-475C-9B7C-DC217EDDBD5D}" name="Total_expense_by_month" displayName="Total_expense_by_month" ref="A1:B13" tableType="queryTable" totalsRowShown="0">
  <autoFilter ref="A1:B13" xr:uid="{A0091687-7AB2-475C-9B7C-DC217EDDBD5D}"/>
  <tableColumns count="2">
    <tableColumn id="1" xr3:uid="{95B4F63C-036A-461F-8357-32F0C569AD83}" uniqueName="1" name="Month" queryTableFieldId="1" dataDxfId="1"/>
    <tableColumn id="2" xr3:uid="{DCF3C351-E346-4C8C-9B9E-7B387DD8B441}" uniqueName="2" name="total_expense"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7B50AC-B340-45D4-A81A-B2D86C47329E}" name="Total_revenue_by_month" displayName="Total_revenue_by_month" ref="A1:B13" tableType="queryTable" totalsRowShown="0">
  <autoFilter ref="A1:B13" xr:uid="{207B50AC-B340-45D4-A81A-B2D86C47329E}"/>
  <tableColumns count="2">
    <tableColumn id="1" xr3:uid="{DA44465A-17B7-4793-8CCC-7F069FA67B74}" uniqueName="1" name="Month" queryTableFieldId="1" dataDxfId="0"/>
    <tableColumn id="2" xr3:uid="{7C5E2526-91A5-4F90-A601-EFCCD5FD1308}" uniqueName="2" name="total_revenue"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9E11E-8F2B-4425-8CD1-DEED59765A20}">
  <dimension ref="B1:J2"/>
  <sheetViews>
    <sheetView tabSelected="1" workbookViewId="0">
      <selection activeCell="P13" sqref="P13"/>
    </sheetView>
  </sheetViews>
  <sheetFormatPr defaultRowHeight="15" x14ac:dyDescent="0.25"/>
  <cols>
    <col min="2" max="2" width="22.85546875" bestFit="1" customWidth="1"/>
    <col min="5" max="5" width="16.7109375" bestFit="1" customWidth="1"/>
    <col min="7" max="7" width="22.85546875" bestFit="1" customWidth="1"/>
    <col min="10" max="10" width="9.5703125" bestFit="1" customWidth="1"/>
  </cols>
  <sheetData>
    <row r="1" spans="2:10" x14ac:dyDescent="0.25">
      <c r="B1" t="s">
        <v>25</v>
      </c>
      <c r="E1" t="s">
        <v>26</v>
      </c>
      <c r="G1" t="s">
        <v>27</v>
      </c>
      <c r="J1" t="s">
        <v>28</v>
      </c>
    </row>
    <row r="2" spans="2:10" ht="31.5" x14ac:dyDescent="0.5">
      <c r="B2" s="3">
        <f>SUM('Proofit by month'!B:B)</f>
        <v>1637152</v>
      </c>
      <c r="E2" s="3">
        <f>SUM('Total expense by month'!B:B)</f>
        <v>88064</v>
      </c>
      <c r="G2" s="3">
        <f>B2-E2</f>
        <v>1549088</v>
      </c>
      <c r="J2" s="2">
        <f>G2/B2</f>
        <v>0.94620902640683335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B281F-CD3D-4B0C-A4C3-C98C0B26FBB2}">
  <dimension ref="A1:D13"/>
  <sheetViews>
    <sheetView workbookViewId="0">
      <selection activeCell="B1" sqref="B1:C13"/>
    </sheetView>
  </sheetViews>
  <sheetFormatPr defaultRowHeight="15" x14ac:dyDescent="0.25"/>
  <cols>
    <col min="1" max="1" width="10.28515625" bestFit="1" customWidth="1"/>
    <col min="2" max="2" width="17.28515625" bestFit="1" customWidth="1"/>
    <col min="3" max="3" width="16.42578125" bestFit="1" customWidth="1"/>
    <col min="4" max="4" width="10.85546875" bestFit="1" customWidth="1"/>
  </cols>
  <sheetData>
    <row r="1" spans="1:4" x14ac:dyDescent="0.25">
      <c r="A1" t="s">
        <v>0</v>
      </c>
      <c r="B1" t="s">
        <v>1</v>
      </c>
      <c r="C1" t="s">
        <v>2</v>
      </c>
      <c r="D1" t="s">
        <v>3</v>
      </c>
    </row>
    <row r="2" spans="1:4" x14ac:dyDescent="0.25">
      <c r="A2" s="1" t="s">
        <v>4</v>
      </c>
      <c r="B2">
        <v>17000</v>
      </c>
      <c r="C2">
        <v>17426</v>
      </c>
      <c r="D2">
        <v>426</v>
      </c>
    </row>
    <row r="3" spans="1:4" x14ac:dyDescent="0.25">
      <c r="A3" s="1" t="s">
        <v>5</v>
      </c>
      <c r="B3">
        <v>17000</v>
      </c>
      <c r="C3">
        <v>17045</v>
      </c>
      <c r="D3">
        <v>45</v>
      </c>
    </row>
    <row r="4" spans="1:4" x14ac:dyDescent="0.25">
      <c r="A4" s="1" t="s">
        <v>6</v>
      </c>
      <c r="B4">
        <v>17000</v>
      </c>
      <c r="C4">
        <v>17295</v>
      </c>
      <c r="D4">
        <v>295</v>
      </c>
    </row>
    <row r="5" spans="1:4" x14ac:dyDescent="0.25">
      <c r="A5" s="1" t="s">
        <v>7</v>
      </c>
      <c r="B5">
        <v>17000</v>
      </c>
      <c r="C5">
        <v>17071</v>
      </c>
      <c r="D5">
        <v>71</v>
      </c>
    </row>
    <row r="6" spans="1:4" x14ac:dyDescent="0.25">
      <c r="A6" s="1" t="s">
        <v>8</v>
      </c>
      <c r="B6">
        <v>17000</v>
      </c>
      <c r="C6">
        <v>16487</v>
      </c>
      <c r="D6">
        <v>-513</v>
      </c>
    </row>
    <row r="7" spans="1:4" x14ac:dyDescent="0.25">
      <c r="A7" s="1" t="s">
        <v>9</v>
      </c>
      <c r="B7">
        <v>17000</v>
      </c>
      <c r="C7">
        <v>16622</v>
      </c>
      <c r="D7">
        <v>-378</v>
      </c>
    </row>
    <row r="8" spans="1:4" x14ac:dyDescent="0.25">
      <c r="A8" s="1" t="s">
        <v>10</v>
      </c>
      <c r="B8">
        <v>17000</v>
      </c>
      <c r="C8">
        <v>16770</v>
      </c>
      <c r="D8">
        <v>-230</v>
      </c>
    </row>
    <row r="9" spans="1:4" x14ac:dyDescent="0.25">
      <c r="A9" s="1" t="s">
        <v>11</v>
      </c>
      <c r="B9">
        <v>17000</v>
      </c>
      <c r="C9">
        <v>17269</v>
      </c>
      <c r="D9">
        <v>269</v>
      </c>
    </row>
    <row r="10" spans="1:4" x14ac:dyDescent="0.25">
      <c r="A10" s="1" t="s">
        <v>12</v>
      </c>
      <c r="B10">
        <v>17000</v>
      </c>
      <c r="C10">
        <v>17023</v>
      </c>
      <c r="D10">
        <v>23</v>
      </c>
    </row>
    <row r="11" spans="1:4" x14ac:dyDescent="0.25">
      <c r="A11" s="1" t="s">
        <v>13</v>
      </c>
      <c r="B11">
        <v>17000</v>
      </c>
      <c r="C11">
        <v>17073</v>
      </c>
      <c r="D11">
        <v>73</v>
      </c>
    </row>
    <row r="12" spans="1:4" x14ac:dyDescent="0.25">
      <c r="A12" s="1" t="s">
        <v>14</v>
      </c>
      <c r="B12">
        <v>17000</v>
      </c>
      <c r="C12">
        <v>17123</v>
      </c>
      <c r="D12">
        <v>123</v>
      </c>
    </row>
    <row r="13" spans="1:4" x14ac:dyDescent="0.25">
      <c r="A13" s="1" t="s">
        <v>15</v>
      </c>
      <c r="B13">
        <v>17000</v>
      </c>
      <c r="C13">
        <v>17440</v>
      </c>
      <c r="D13">
        <v>440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BB9C1-4F7E-46ED-B935-A385C667984D}">
  <dimension ref="A1:E3"/>
  <sheetViews>
    <sheetView workbookViewId="0">
      <selection activeCell="E1" activeCellId="1" sqref="A1:A3 E1:E3"/>
    </sheetView>
  </sheetViews>
  <sheetFormatPr defaultRowHeight="15" x14ac:dyDescent="0.25"/>
  <cols>
    <col min="1" max="1" width="16.140625" bestFit="1" customWidth="1"/>
    <col min="2" max="2" width="10.7109375" bestFit="1" customWidth="1"/>
    <col min="3" max="3" width="11" bestFit="1" customWidth="1"/>
    <col min="4" max="4" width="13.42578125" customWidth="1"/>
    <col min="5" max="5" width="19.140625" bestFit="1" customWidth="1"/>
  </cols>
  <sheetData>
    <row r="1" spans="1:5" x14ac:dyDescent="0.25">
      <c r="A1" t="s">
        <v>16</v>
      </c>
      <c r="B1" t="s">
        <v>17</v>
      </c>
      <c r="C1" t="s">
        <v>18</v>
      </c>
      <c r="D1" t="s">
        <v>19</v>
      </c>
      <c r="E1" t="s">
        <v>20</v>
      </c>
    </row>
    <row r="2" spans="1:5" x14ac:dyDescent="0.25">
      <c r="A2" s="1" t="s">
        <v>21</v>
      </c>
      <c r="B2">
        <v>476352</v>
      </c>
      <c r="C2">
        <v>88064</v>
      </c>
      <c r="D2">
        <v>388288</v>
      </c>
      <c r="E2">
        <v>81.510000000000005</v>
      </c>
    </row>
    <row r="3" spans="1:5" x14ac:dyDescent="0.25">
      <c r="A3" s="1" t="s">
        <v>22</v>
      </c>
      <c r="B3">
        <v>1160800</v>
      </c>
      <c r="C3">
        <v>88064</v>
      </c>
      <c r="D3">
        <v>1072736</v>
      </c>
      <c r="E3">
        <v>92.41</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E6DE0-1C19-4C0E-B237-BDC761FDFF82}">
  <dimension ref="A1:D13"/>
  <sheetViews>
    <sheetView workbookViewId="0">
      <selection activeCell="B19" sqref="B19"/>
    </sheetView>
  </sheetViews>
  <sheetFormatPr defaultRowHeight="15" x14ac:dyDescent="0.25"/>
  <cols>
    <col min="1" max="1" width="10.28515625" bestFit="1" customWidth="1"/>
    <col min="2" max="2" width="15.85546875" bestFit="1" customWidth="1"/>
    <col min="3" max="3" width="16.140625" bestFit="1" customWidth="1"/>
    <col min="4" max="4" width="8.28515625" bestFit="1" customWidth="1"/>
  </cols>
  <sheetData>
    <row r="1" spans="1:4" x14ac:dyDescent="0.25">
      <c r="A1" t="s">
        <v>0</v>
      </c>
      <c r="B1" t="s">
        <v>23</v>
      </c>
      <c r="C1" t="s">
        <v>24</v>
      </c>
      <c r="D1" t="s">
        <v>19</v>
      </c>
    </row>
    <row r="2" spans="1:4" x14ac:dyDescent="0.25">
      <c r="A2" s="1" t="s">
        <v>4</v>
      </c>
      <c r="B2">
        <v>139408</v>
      </c>
      <c r="C2">
        <v>14554</v>
      </c>
      <c r="D2">
        <v>124854</v>
      </c>
    </row>
    <row r="3" spans="1:4" x14ac:dyDescent="0.25">
      <c r="A3" s="1" t="s">
        <v>5</v>
      </c>
      <c r="B3">
        <v>136360</v>
      </c>
      <c r="C3">
        <v>14992</v>
      </c>
      <c r="D3">
        <v>121368</v>
      </c>
    </row>
    <row r="4" spans="1:4" x14ac:dyDescent="0.25">
      <c r="A4" s="1" t="s">
        <v>6</v>
      </c>
      <c r="B4">
        <v>138360</v>
      </c>
      <c r="C4">
        <v>14464</v>
      </c>
      <c r="D4">
        <v>123896</v>
      </c>
    </row>
    <row r="5" spans="1:4" x14ac:dyDescent="0.25">
      <c r="A5" s="1" t="s">
        <v>7</v>
      </c>
      <c r="B5">
        <v>136568</v>
      </c>
      <c r="C5">
        <v>14722</v>
      </c>
      <c r="D5">
        <v>121846</v>
      </c>
    </row>
    <row r="6" spans="1:4" x14ac:dyDescent="0.25">
      <c r="A6" s="1" t="s">
        <v>8</v>
      </c>
      <c r="B6">
        <v>131896</v>
      </c>
      <c r="C6">
        <v>14644</v>
      </c>
      <c r="D6">
        <v>117252</v>
      </c>
    </row>
    <row r="7" spans="1:4" x14ac:dyDescent="0.25">
      <c r="A7" s="1" t="s">
        <v>9</v>
      </c>
      <c r="B7">
        <v>132976</v>
      </c>
      <c r="C7">
        <v>14970</v>
      </c>
      <c r="D7">
        <v>118006</v>
      </c>
    </row>
    <row r="8" spans="1:4" x14ac:dyDescent="0.25">
      <c r="A8" s="1" t="s">
        <v>10</v>
      </c>
      <c r="B8">
        <v>134160</v>
      </c>
      <c r="C8">
        <v>14588</v>
      </c>
      <c r="D8">
        <v>119572</v>
      </c>
    </row>
    <row r="9" spans="1:4" x14ac:dyDescent="0.25">
      <c r="A9" s="1" t="s">
        <v>11</v>
      </c>
      <c r="B9">
        <v>138152</v>
      </c>
      <c r="C9">
        <v>14484</v>
      </c>
      <c r="D9">
        <v>123668</v>
      </c>
    </row>
    <row r="10" spans="1:4" x14ac:dyDescent="0.25">
      <c r="A10" s="1" t="s">
        <v>12</v>
      </c>
      <c r="B10">
        <v>136184</v>
      </c>
      <c r="C10">
        <v>14652</v>
      </c>
      <c r="D10">
        <v>121532</v>
      </c>
    </row>
    <row r="11" spans="1:4" x14ac:dyDescent="0.25">
      <c r="A11" s="1" t="s">
        <v>13</v>
      </c>
      <c r="B11">
        <v>136584</v>
      </c>
      <c r="C11">
        <v>14820</v>
      </c>
      <c r="D11">
        <v>121764</v>
      </c>
    </row>
    <row r="12" spans="1:4" x14ac:dyDescent="0.25">
      <c r="A12" s="1" t="s">
        <v>14</v>
      </c>
      <c r="B12">
        <v>136984</v>
      </c>
      <c r="C12">
        <v>14576</v>
      </c>
      <c r="D12">
        <v>122408</v>
      </c>
    </row>
    <row r="13" spans="1:4" x14ac:dyDescent="0.25">
      <c r="A13" s="1" t="s">
        <v>15</v>
      </c>
      <c r="B13">
        <v>139520</v>
      </c>
      <c r="C13">
        <v>14662</v>
      </c>
      <c r="D13">
        <v>124858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1888A-D040-43D5-9D6E-69CA3A8EBD98}">
  <dimension ref="A1:B13"/>
  <sheetViews>
    <sheetView workbookViewId="0">
      <selection activeCell="H14" sqref="H14"/>
    </sheetView>
  </sheetViews>
  <sheetFormatPr defaultRowHeight="15" x14ac:dyDescent="0.25"/>
  <cols>
    <col min="1" max="1" width="10.28515625" bestFit="1" customWidth="1"/>
    <col min="2" max="2" width="16.140625" bestFit="1" customWidth="1"/>
  </cols>
  <sheetData>
    <row r="1" spans="1:2" x14ac:dyDescent="0.25">
      <c r="A1" t="s">
        <v>0</v>
      </c>
      <c r="B1" t="s">
        <v>24</v>
      </c>
    </row>
    <row r="2" spans="1:2" x14ac:dyDescent="0.25">
      <c r="A2" s="1" t="s">
        <v>4</v>
      </c>
      <c r="B2">
        <v>7277</v>
      </c>
    </row>
    <row r="3" spans="1:2" x14ac:dyDescent="0.25">
      <c r="A3" s="1" t="s">
        <v>5</v>
      </c>
      <c r="B3">
        <v>7496</v>
      </c>
    </row>
    <row r="4" spans="1:2" x14ac:dyDescent="0.25">
      <c r="A4" s="1" t="s">
        <v>6</v>
      </c>
      <c r="B4">
        <v>7232</v>
      </c>
    </row>
    <row r="5" spans="1:2" x14ac:dyDescent="0.25">
      <c r="A5" s="1" t="s">
        <v>7</v>
      </c>
      <c r="B5">
        <v>7361</v>
      </c>
    </row>
    <row r="6" spans="1:2" x14ac:dyDescent="0.25">
      <c r="A6" s="1" t="s">
        <v>8</v>
      </c>
      <c r="B6">
        <v>7322</v>
      </c>
    </row>
    <row r="7" spans="1:2" x14ac:dyDescent="0.25">
      <c r="A7" s="1" t="s">
        <v>9</v>
      </c>
      <c r="B7">
        <v>7485</v>
      </c>
    </row>
    <row r="8" spans="1:2" x14ac:dyDescent="0.25">
      <c r="A8" s="1" t="s">
        <v>10</v>
      </c>
      <c r="B8">
        <v>7294</v>
      </c>
    </row>
    <row r="9" spans="1:2" x14ac:dyDescent="0.25">
      <c r="A9" s="1" t="s">
        <v>11</v>
      </c>
      <c r="B9">
        <v>7242</v>
      </c>
    </row>
    <row r="10" spans="1:2" x14ac:dyDescent="0.25">
      <c r="A10" s="1" t="s">
        <v>12</v>
      </c>
      <c r="B10">
        <v>7326</v>
      </c>
    </row>
    <row r="11" spans="1:2" x14ac:dyDescent="0.25">
      <c r="A11" s="1" t="s">
        <v>13</v>
      </c>
      <c r="B11">
        <v>7410</v>
      </c>
    </row>
    <row r="12" spans="1:2" x14ac:dyDescent="0.25">
      <c r="A12" s="1" t="s">
        <v>14</v>
      </c>
      <c r="B12">
        <v>7288</v>
      </c>
    </row>
    <row r="13" spans="1:2" x14ac:dyDescent="0.25">
      <c r="A13" s="1" t="s">
        <v>15</v>
      </c>
      <c r="B13">
        <v>7331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B7E4E-0679-459A-9C59-B95311B5F89B}">
  <dimension ref="A1:B13"/>
  <sheetViews>
    <sheetView workbookViewId="0">
      <selection activeCell="B12" sqref="B12"/>
    </sheetView>
  </sheetViews>
  <sheetFormatPr defaultRowHeight="15" x14ac:dyDescent="0.25"/>
  <cols>
    <col min="1" max="1" width="10.28515625" bestFit="1" customWidth="1"/>
    <col min="2" max="2" width="15.85546875" bestFit="1" customWidth="1"/>
  </cols>
  <sheetData>
    <row r="1" spans="1:2" x14ac:dyDescent="0.25">
      <c r="A1" t="s">
        <v>0</v>
      </c>
      <c r="B1" t="s">
        <v>23</v>
      </c>
    </row>
    <row r="2" spans="1:2" x14ac:dyDescent="0.25">
      <c r="A2" s="1" t="s">
        <v>4</v>
      </c>
      <c r="B2">
        <v>17426</v>
      </c>
    </row>
    <row r="3" spans="1:2" x14ac:dyDescent="0.25">
      <c r="A3" s="1" t="s">
        <v>5</v>
      </c>
      <c r="B3">
        <v>17045</v>
      </c>
    </row>
    <row r="4" spans="1:2" x14ac:dyDescent="0.25">
      <c r="A4" s="1" t="s">
        <v>6</v>
      </c>
      <c r="B4">
        <v>17295</v>
      </c>
    </row>
    <row r="5" spans="1:2" x14ac:dyDescent="0.25">
      <c r="A5" s="1" t="s">
        <v>7</v>
      </c>
      <c r="B5">
        <v>17071</v>
      </c>
    </row>
    <row r="6" spans="1:2" x14ac:dyDescent="0.25">
      <c r="A6" s="1" t="s">
        <v>8</v>
      </c>
      <c r="B6">
        <v>16487</v>
      </c>
    </row>
    <row r="7" spans="1:2" x14ac:dyDescent="0.25">
      <c r="A7" s="1" t="s">
        <v>9</v>
      </c>
      <c r="B7">
        <v>16622</v>
      </c>
    </row>
    <row r="8" spans="1:2" x14ac:dyDescent="0.25">
      <c r="A8" s="1" t="s">
        <v>10</v>
      </c>
      <c r="B8">
        <v>16770</v>
      </c>
    </row>
    <row r="9" spans="1:2" x14ac:dyDescent="0.25">
      <c r="A9" s="1" t="s">
        <v>11</v>
      </c>
      <c r="B9">
        <v>17269</v>
      </c>
    </row>
    <row r="10" spans="1:2" x14ac:dyDescent="0.25">
      <c r="A10" s="1" t="s">
        <v>12</v>
      </c>
      <c r="B10">
        <v>17023</v>
      </c>
    </row>
    <row r="11" spans="1:2" x14ac:dyDescent="0.25">
      <c r="A11" s="1" t="s">
        <v>13</v>
      </c>
      <c r="B11">
        <v>17073</v>
      </c>
    </row>
    <row r="12" spans="1:2" x14ac:dyDescent="0.25">
      <c r="A12" s="1" t="s">
        <v>14</v>
      </c>
      <c r="B12">
        <v>17123</v>
      </c>
    </row>
    <row r="13" spans="1:2" x14ac:dyDescent="0.25">
      <c r="A13" s="1" t="s">
        <v>15</v>
      </c>
      <c r="B13">
        <v>17440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BB5E3C8B-A674-4C85-B7E6-05DCD222FBFB}">
  <ds:schemaRefs>
    <ds:schemaRef ds:uri="http://schemas.microsoft.com/DataMashup"/>
  </ds:schemaRefs>
</ds:datastoreItem>
</file>

<file path=customXml/itemProps2.xml><?xml version="1.0" encoding="utf-8"?>
<ds:datastoreItem xmlns:ds="http://schemas.openxmlformats.org/officeDocument/2006/customXml" ds:itemID="{3F46A85F-085F-4C0E-AA13-737317DFF0DB}">
  <ds:schemaRefs/>
</ds:datastoreItem>
</file>

<file path=customXml/itemProps3.xml><?xml version="1.0" encoding="utf-8"?>
<ds:datastoreItem xmlns:ds="http://schemas.openxmlformats.org/officeDocument/2006/customXml" ds:itemID="{FD932444-0881-4398-AD57-001FBF9AB23B}">
  <ds:schemaRefs/>
</ds:datastoreItem>
</file>

<file path=customXml/itemProps4.xml><?xml version="1.0" encoding="utf-8"?>
<ds:datastoreItem xmlns:ds="http://schemas.openxmlformats.org/officeDocument/2006/customXml" ds:itemID="{037ADFC5-8292-4BD0-A544-F50F16B59BC5}">
  <ds:schemaRefs/>
</ds:datastoreItem>
</file>

<file path=customXml/itemProps5.xml><?xml version="1.0" encoding="utf-8"?>
<ds:datastoreItem xmlns:ds="http://schemas.openxmlformats.org/officeDocument/2006/customXml" ds:itemID="{82BC1526-EEAD-4606-B447-DCA6F6AA57C0}">
  <ds:schemaRefs/>
</ds:datastoreItem>
</file>

<file path=customXml/itemProps6.xml><?xml version="1.0" encoding="utf-8"?>
<ds:datastoreItem xmlns:ds="http://schemas.openxmlformats.org/officeDocument/2006/customXml" ds:itemID="{F088405C-A75C-4A74-9E33-0F80EFD75A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Dashboad</vt:lpstr>
      <vt:lpstr>budget vs actual</vt:lpstr>
      <vt:lpstr>profit margn by category (2)</vt:lpstr>
      <vt:lpstr>Proofit by month</vt:lpstr>
      <vt:lpstr>Total expense by month</vt:lpstr>
      <vt:lpstr>Total revenue by 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Molly Geoffrey</dc:creator>
  <cp:lastModifiedBy>Molly Geoffrey</cp:lastModifiedBy>
  <dcterms:created xsi:type="dcterms:W3CDTF">2026-03-22T10:35:38Z</dcterms:created>
  <dcterms:modified xsi:type="dcterms:W3CDTF">2026-03-22T11:48:22Z</dcterms:modified>
</cp:coreProperties>
</file>